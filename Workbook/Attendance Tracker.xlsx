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1822375e5a5ab/Excel and Copilot Fundamentals/"/>
    </mc:Choice>
  </mc:AlternateContent>
  <xr:revisionPtr revIDLastSave="212" documentId="8_{6BC8EFB2-0B6E-4D1F-BC75-6271CDC9F729}" xr6:coauthVersionLast="47" xr6:coauthVersionMax="47" xr10:uidLastSave="{6EE74990-C10B-4F50-8FA8-73701940F9E1}"/>
  <bookViews>
    <workbookView xWindow="-108" yWindow="-108" windowWidth="23256" windowHeight="13176" xr2:uid="{8B7C76B3-1A6E-4CFD-8FC3-180FDA9EB405}"/>
  </bookViews>
  <sheets>
    <sheet name="Attendance Tracker" sheetId="1" r:id="rId1"/>
    <sheet name="List3_Details" sheetId="3" r:id="rId2"/>
  </sheets>
  <externalReferences>
    <externalReference r:id="rId3"/>
  </externalReferences>
  <calcPr calcId="191029"/>
  <pivotCaches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13" i="1"/>
  <c r="E24" i="1"/>
  <c r="E35" i="1"/>
  <c r="E46" i="1"/>
  <c r="E48" i="1"/>
  <c r="E49" i="1"/>
  <c r="E50" i="1"/>
  <c r="E51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34" i="1"/>
  <c r="E36" i="1"/>
  <c r="E37" i="1"/>
  <c r="E38" i="1"/>
  <c r="E39" i="1"/>
  <c r="E40" i="1"/>
  <c r="E41" i="1"/>
  <c r="E42" i="1"/>
  <c r="E43" i="1"/>
  <c r="E44" i="1"/>
  <c r="E45" i="1"/>
  <c r="E47" i="1"/>
  <c r="E2" i="1"/>
  <c r="D13" i="1"/>
  <c r="H13" i="1" s="1"/>
  <c r="D24" i="1"/>
  <c r="H24" i="1" s="1"/>
  <c r="D35" i="1"/>
  <c r="H35" i="1" s="1"/>
  <c r="D46" i="1"/>
  <c r="H46" i="1" s="1"/>
  <c r="D48" i="1"/>
  <c r="H48" i="1" s="1"/>
  <c r="D49" i="1"/>
  <c r="H49" i="1" s="1"/>
  <c r="D50" i="1"/>
  <c r="H50" i="1" s="1"/>
  <c r="D51" i="1"/>
  <c r="H51" i="1" s="1"/>
  <c r="D3" i="1"/>
  <c r="H3" i="1" s="1"/>
  <c r="D4" i="1"/>
  <c r="H4" i="1" s="1"/>
  <c r="D5" i="1"/>
  <c r="H5" i="1" s="1"/>
  <c r="D6" i="1"/>
  <c r="H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H12" i="1" s="1"/>
  <c r="D14" i="1"/>
  <c r="H14" i="1" s="1"/>
  <c r="D15" i="1"/>
  <c r="H15" i="1" s="1"/>
  <c r="D16" i="1"/>
  <c r="H16" i="1" s="1"/>
  <c r="D17" i="1"/>
  <c r="H17" i="1" s="1"/>
  <c r="D18" i="1"/>
  <c r="H18" i="1" s="1"/>
  <c r="D19" i="1"/>
  <c r="H19" i="1" s="1"/>
  <c r="D20" i="1"/>
  <c r="H20" i="1" s="1"/>
  <c r="D21" i="1"/>
  <c r="H21" i="1" s="1"/>
  <c r="D22" i="1"/>
  <c r="H22" i="1" s="1"/>
  <c r="D23" i="1"/>
  <c r="H23" i="1" s="1"/>
  <c r="D25" i="1"/>
  <c r="H25" i="1" s="1"/>
  <c r="D26" i="1"/>
  <c r="H26" i="1" s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H34" i="1" s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42" i="1"/>
  <c r="H42" i="1" s="1"/>
  <c r="D43" i="1"/>
  <c r="H43" i="1" s="1"/>
  <c r="D44" i="1"/>
  <c r="H44" i="1" s="1"/>
  <c r="D45" i="1"/>
  <c r="H45" i="1" s="1"/>
  <c r="D47" i="1"/>
  <c r="H47" i="1" s="1"/>
  <c r="D2" i="1"/>
  <c r="H2" i="1" s="1"/>
  <c r="C13" i="1"/>
  <c r="C24" i="1"/>
  <c r="C35" i="1"/>
  <c r="C46" i="1"/>
  <c r="C48" i="1"/>
  <c r="C49" i="1"/>
  <c r="C50" i="1"/>
  <c r="C51" i="1"/>
  <c r="C3" i="1"/>
  <c r="C4" i="1"/>
  <c r="C5" i="1"/>
  <c r="C6" i="1"/>
  <c r="C7" i="1"/>
  <c r="C8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25" i="1"/>
  <c r="C26" i="1"/>
  <c r="C27" i="1"/>
  <c r="C28" i="1"/>
  <c r="C29" i="1"/>
  <c r="C30" i="1"/>
  <c r="C31" i="1"/>
  <c r="C32" i="1"/>
  <c r="C33" i="1"/>
  <c r="C34" i="1"/>
  <c r="C36" i="1"/>
  <c r="C37" i="1"/>
  <c r="C38" i="1"/>
  <c r="C39" i="1"/>
  <c r="C40" i="1"/>
  <c r="C41" i="1"/>
  <c r="C42" i="1"/>
  <c r="C43" i="1"/>
  <c r="C44" i="1"/>
  <c r="C45" i="1"/>
  <c r="C47" i="1"/>
  <c r="C2" i="1"/>
  <c r="F52" i="1" l="1"/>
</calcChain>
</file>

<file path=xl/sharedStrings.xml><?xml version="1.0" encoding="utf-8"?>
<sst xmlns="http://schemas.openxmlformats.org/spreadsheetml/2006/main" count="574" uniqueCount="74">
  <si>
    <t>Name</t>
  </si>
  <si>
    <t>Month</t>
  </si>
  <si>
    <t>Contact</t>
  </si>
  <si>
    <t>Total days present</t>
  </si>
  <si>
    <t>Group/ Department</t>
  </si>
  <si>
    <t>Attendee 1</t>
  </si>
  <si>
    <t>Attendee 2</t>
  </si>
  <si>
    <t>Attendee 3</t>
  </si>
  <si>
    <t>Attendee 4</t>
  </si>
  <si>
    <t>Attendee 5</t>
  </si>
  <si>
    <t>Attendee 6</t>
  </si>
  <si>
    <t>Attendee 7</t>
  </si>
  <si>
    <t>Attendee 8</t>
  </si>
  <si>
    <t>Attendee 9</t>
  </si>
  <si>
    <t>Attendee 10</t>
  </si>
  <si>
    <t>Attendee 11</t>
  </si>
  <si>
    <t>Attendee 12</t>
  </si>
  <si>
    <t>Attendee 13</t>
  </si>
  <si>
    <t>Attendee 14</t>
  </si>
  <si>
    <t>Attendee 15</t>
  </si>
  <si>
    <t>Attendee 16</t>
  </si>
  <si>
    <t>Attendee 17</t>
  </si>
  <si>
    <t>Attendee 18</t>
  </si>
  <si>
    <t>Attendee 19</t>
  </si>
  <si>
    <t>Attendee 20</t>
  </si>
  <si>
    <t>Attendee 21</t>
  </si>
  <si>
    <t>Attendee 22</t>
  </si>
  <si>
    <t>Attendee 23</t>
  </si>
  <si>
    <t>Attendee 24</t>
  </si>
  <si>
    <t>Attendee 25</t>
  </si>
  <si>
    <t>Attendee 26</t>
  </si>
  <si>
    <t>Attendee 27</t>
  </si>
  <si>
    <t>Attendee 28</t>
  </si>
  <si>
    <t>Attendee 29</t>
  </si>
  <si>
    <t>Attendee 30</t>
  </si>
  <si>
    <t>Attendee 31</t>
  </si>
  <si>
    <t>Attendee 32</t>
  </si>
  <si>
    <t>Attendee 33</t>
  </si>
  <si>
    <t>Attendee 34</t>
  </si>
  <si>
    <t>Attendee 35</t>
  </si>
  <si>
    <t>Attendee 36</t>
  </si>
  <si>
    <t>Attendee 37</t>
  </si>
  <si>
    <t>Attendee 38</t>
  </si>
  <si>
    <t>Attendee 39</t>
  </si>
  <si>
    <t>Attendee 40</t>
  </si>
  <si>
    <t>Attendee 41</t>
  </si>
  <si>
    <t>Attendee 42</t>
  </si>
  <si>
    <t>Attendee 43</t>
  </si>
  <si>
    <t>Attendee 44</t>
  </si>
  <si>
    <t>Attendee 45</t>
  </si>
  <si>
    <t>Attendee 46</t>
  </si>
  <si>
    <t>Attendee 47</t>
  </si>
  <si>
    <t>Attendee 48</t>
  </si>
  <si>
    <t>Attendee 49</t>
  </si>
  <si>
    <t>Attendee 50</t>
  </si>
  <si>
    <t>Actual days present</t>
  </si>
  <si>
    <t>Attendance Percentage</t>
  </si>
  <si>
    <t>Attendance requirement met</t>
  </si>
  <si>
    <t>Finance</t>
  </si>
  <si>
    <t>HR</t>
  </si>
  <si>
    <t>IT</t>
  </si>
  <si>
    <t>Marketing</t>
  </si>
  <si>
    <t>Sales</t>
  </si>
  <si>
    <t>Grand Total</t>
  </si>
  <si>
    <t>Date</t>
  </si>
  <si>
    <t>Attended</t>
  </si>
  <si>
    <t>Count of attendance</t>
  </si>
  <si>
    <t>Attendance Status</t>
  </si>
  <si>
    <t>Yes</t>
  </si>
  <si>
    <t>No</t>
  </si>
  <si>
    <t>Attendance</t>
  </si>
  <si>
    <t>Average Attendance Percentage</t>
  </si>
  <si>
    <t>Department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</si>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</sst>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>
      <alignment horizontal="center" vertical="center" wrapText="1"/>
    </xf>
    <xf numFmtId="0" fontId="5" fillId="0" borderId="0"/>
  </cellStyleXfs>
  <cellXfs count="18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9" fontId="0" fillId="0" borderId="0" xfId="0" applyNumberFormat="1"/>
    <xf numFmtId="0" fontId="6" fillId="0" borderId="3" xfId="3" applyFont="1" applyBorder="1" applyAlignment="1">
      <alignment horizontal="center" vertical="top"/>
    </xf>
    <xf numFmtId="0" fontId="6" fillId="0" borderId="3" xfId="3" applyFont="1" applyBorder="1" applyAlignment="1">
      <alignment horizontal="center" vertical="top" wrapText="1"/>
    </xf>
    <xf numFmtId="0" fontId="1" fillId="0" borderId="0" xfId="3" applyFont="1"/>
    <xf numFmtId="0" fontId="5" fillId="0" borderId="0" xfId="3"/>
    <xf numFmtId="0" fontId="7" fillId="0" borderId="0" xfId="3" applyFont="1"/>
    <xf numFmtId="15" fontId="7" fillId="0" borderId="0" xfId="3" applyNumberFormat="1" applyFont="1" applyAlignment="1">
      <alignment horizontal="right" wrapText="1"/>
    </xf>
    <xf numFmtId="15" fontId="0" fillId="0" borderId="0" xfId="0" applyNumberFormat="1" applyAlignment="1">
      <alignment horizontal="left"/>
    </xf>
    <xf numFmtId="0" fontId="8" fillId="0" borderId="1" xfId="0" pivotButton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9" fontId="0" fillId="0" borderId="1" xfId="0" applyNumberFormat="1" applyBorder="1"/>
  </cellXfs>
  <cellStyles count="4">
    <cellStyle name="Normal" xfId="0" builtinId="0"/>
    <cellStyle name="Normal 2" xfId="3" xr:uid="{781635B4-38E7-4EDA-B16B-4A9FAB23F682}"/>
    <cellStyle name="Percent" xfId="1" builtinId="5"/>
    <cellStyle name="Report Header" xfId="2" xr:uid="{D42AE000-0DB7-4627-9095-50D84B631472}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99FF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/>
        </patternFill>
      </fill>
    </dxf>
    <dxf>
      <fill>
        <patternFill>
          <bgColor rgb="FFFF99FF"/>
        </patternFill>
      </fill>
    </dxf>
    <dxf>
      <fill>
        <patternFill>
          <bgColor rgb="FF33CCC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164" formatCode="mmm/yyyy"/>
    </dxf>
    <dxf>
      <numFmt numFmtId="164" formatCode="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4"/>
      </font>
    </dxf>
    <dxf>
      <font>
        <sz val="14"/>
      </font>
    </dxf>
    <dxf>
      <font>
        <name val="Arial Black"/>
        <scheme val="none"/>
      </font>
    </dxf>
    <dxf>
      <font>
        <name val="Arial Black"/>
        <scheme val="none"/>
      </font>
    </dxf>
  </dxfs>
  <tableStyles count="0" defaultTableStyle="TableStyleMedium2" defaultPivotStyle="PivotStyleLight16"/>
  <colors>
    <mruColors>
      <color rgb="FF33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 Tracker.xlsx]List3_Details!PivotTable3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List3_Details!$H$3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List3_Details!$G$4:$G$9</c:f>
              <c:strCache>
                <c:ptCount val="5"/>
                <c:pt idx="0">
                  <c:v>01-Jul-24</c:v>
                </c:pt>
                <c:pt idx="1">
                  <c:v>02-Jul-24</c:v>
                </c:pt>
                <c:pt idx="2">
                  <c:v>03-Jul-24</c:v>
                </c:pt>
                <c:pt idx="3">
                  <c:v>04-Jul-24</c:v>
                </c:pt>
                <c:pt idx="4">
                  <c:v>05-Jul-24</c:v>
                </c:pt>
              </c:strCache>
            </c:strRef>
          </c:cat>
          <c:val>
            <c:numRef>
              <c:f>List3_Details!$H$4:$H$9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30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C-476F-A5FE-6EC6A9752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431952"/>
        <c:axId val="31430032"/>
        <c:axId val="0"/>
      </c:bar3DChart>
      <c:catAx>
        <c:axId val="3143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30032"/>
        <c:crosses val="autoZero"/>
        <c:auto val="1"/>
        <c:lblAlgn val="ctr"/>
        <c:lblOffset val="100"/>
        <c:noMultiLvlLbl val="0"/>
      </c:catAx>
      <c:valAx>
        <c:axId val="314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3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2</xdr:row>
      <xdr:rowOff>3810</xdr:rowOff>
    </xdr:from>
    <xdr:to>
      <xdr:col>15</xdr:col>
      <xdr:colOff>358140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6FF2E-2315-4B38-ADB9-F2872F45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0c1822375e5a5ab/Excel%20and%20Copilot%20Fundamentals/Non%20profit%20event%20dataset.xlsx" TargetMode="External"/><Relationship Id="rId1" Type="http://schemas.openxmlformats.org/officeDocument/2006/relationships/externalLinkPath" Target="Non%20profit%20event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_ContactInfo"/>
      <sheetName val="List2_Department"/>
      <sheetName val="List3_Details"/>
    </sheetNames>
    <sheetDataSet>
      <sheetData sheetId="0">
        <row r="2">
          <cell r="A2" t="str">
            <v>Attendee 1</v>
          </cell>
          <cell r="B2" t="str">
            <v>attendee1@company.com</v>
          </cell>
        </row>
        <row r="3">
          <cell r="A3" t="str">
            <v>Attendee 2</v>
          </cell>
          <cell r="B3" t="str">
            <v>attendee2@company.com</v>
          </cell>
        </row>
        <row r="4">
          <cell r="A4" t="str">
            <v>Attendee 3</v>
          </cell>
          <cell r="B4" t="str">
            <v>attendee3@company.com</v>
          </cell>
        </row>
        <row r="5">
          <cell r="A5" t="str">
            <v>Attendee 4</v>
          </cell>
          <cell r="B5" t="str">
            <v>attendee4@company.com</v>
          </cell>
        </row>
        <row r="6">
          <cell r="A6" t="str">
            <v>Attendee 5</v>
          </cell>
          <cell r="B6" t="str">
            <v>attendee5@company.com</v>
          </cell>
        </row>
        <row r="7">
          <cell r="A7" t="str">
            <v>Attendee 6</v>
          </cell>
          <cell r="B7" t="str">
            <v>attendee6@company.com</v>
          </cell>
        </row>
        <row r="8">
          <cell r="A8" t="str">
            <v>Attendee 7</v>
          </cell>
          <cell r="B8" t="str">
            <v>attendee7@company.com</v>
          </cell>
        </row>
        <row r="9">
          <cell r="A9" t="str">
            <v>Attendee 8</v>
          </cell>
          <cell r="B9" t="str">
            <v>attendee8@company.com</v>
          </cell>
        </row>
        <row r="10">
          <cell r="A10" t="str">
            <v>Attendee 9</v>
          </cell>
          <cell r="B10" t="str">
            <v>attendee9@company.com</v>
          </cell>
        </row>
        <row r="11">
          <cell r="A11" t="str">
            <v>Attendee 10</v>
          </cell>
          <cell r="B11" t="str">
            <v>attendee10@company.com</v>
          </cell>
        </row>
        <row r="12">
          <cell r="A12" t="str">
            <v>Attendee 11</v>
          </cell>
          <cell r="B12" t="str">
            <v>attendee11@company.com</v>
          </cell>
        </row>
        <row r="13">
          <cell r="A13" t="str">
            <v>Attendee 12</v>
          </cell>
          <cell r="B13" t="str">
            <v>attendee12@company.com</v>
          </cell>
        </row>
        <row r="14">
          <cell r="A14" t="str">
            <v>Attendee 13</v>
          </cell>
          <cell r="B14" t="str">
            <v>attendee13@company.com</v>
          </cell>
        </row>
        <row r="15">
          <cell r="A15" t="str">
            <v>Attendee 14</v>
          </cell>
          <cell r="B15" t="str">
            <v>attendee14@company.com</v>
          </cell>
        </row>
        <row r="16">
          <cell r="A16" t="str">
            <v>Attendee 15</v>
          </cell>
          <cell r="B16" t="str">
            <v>attendee15@company.com</v>
          </cell>
        </row>
        <row r="17">
          <cell r="A17" t="str">
            <v>Attendee 16</v>
          </cell>
          <cell r="B17" t="str">
            <v>attendee16@company.com</v>
          </cell>
        </row>
        <row r="18">
          <cell r="A18" t="str">
            <v>Attendee 17</v>
          </cell>
          <cell r="B18" t="str">
            <v>attendee17@company.com</v>
          </cell>
        </row>
        <row r="19">
          <cell r="A19" t="str">
            <v>Attendee 18</v>
          </cell>
          <cell r="B19" t="str">
            <v>attendee18@company.com</v>
          </cell>
        </row>
        <row r="20">
          <cell r="A20" t="str">
            <v>Attendee 19</v>
          </cell>
          <cell r="B20" t="str">
            <v>attendee19@company.com</v>
          </cell>
        </row>
        <row r="21">
          <cell r="A21" t="str">
            <v>Attendee 20</v>
          </cell>
          <cell r="B21" t="str">
            <v>attendee20@company.com</v>
          </cell>
        </row>
        <row r="22">
          <cell r="A22" t="str">
            <v>Attendee 7</v>
          </cell>
          <cell r="B22" t="str">
            <v>attendee7@company.com</v>
          </cell>
        </row>
        <row r="23">
          <cell r="A23" t="str">
            <v>Attendee 8</v>
          </cell>
          <cell r="B23" t="str">
            <v>attendee8@company.com</v>
          </cell>
        </row>
        <row r="24">
          <cell r="A24" t="str">
            <v>Attendee 9</v>
          </cell>
          <cell r="B24" t="str">
            <v>attendee9@company.com</v>
          </cell>
        </row>
        <row r="25">
          <cell r="A25" t="str">
            <v>Attendee 21</v>
          </cell>
          <cell r="B25" t="str">
            <v>attendee21@company.com</v>
          </cell>
        </row>
        <row r="26">
          <cell r="A26" t="str">
            <v>Attendee 22</v>
          </cell>
          <cell r="B26" t="str">
            <v>attendee22@company.com</v>
          </cell>
        </row>
        <row r="27">
          <cell r="A27" t="str">
            <v>Attendee 23</v>
          </cell>
          <cell r="B27" t="str">
            <v>attendee23@company.com</v>
          </cell>
        </row>
        <row r="28">
          <cell r="A28" t="str">
            <v>Attendee 24</v>
          </cell>
          <cell r="B28" t="str">
            <v>attendee24@company.com</v>
          </cell>
        </row>
        <row r="29">
          <cell r="A29" t="str">
            <v>Attendee 25</v>
          </cell>
          <cell r="B29" t="str">
            <v>attendee25@company.com</v>
          </cell>
        </row>
        <row r="30">
          <cell r="A30" t="str">
            <v>Attendee 26</v>
          </cell>
          <cell r="B30" t="str">
            <v>attendee26@company.com</v>
          </cell>
        </row>
        <row r="31">
          <cell r="A31" t="str">
            <v>Attendee 27</v>
          </cell>
          <cell r="B31" t="str">
            <v>attendee27@company.com</v>
          </cell>
        </row>
        <row r="32">
          <cell r="A32" t="str">
            <v>Attendee 28</v>
          </cell>
          <cell r="B32" t="str">
            <v>attendee28@company.com</v>
          </cell>
        </row>
        <row r="33">
          <cell r="A33" t="str">
            <v>Attendee 29</v>
          </cell>
          <cell r="B33" t="str">
            <v>attendee29@company.com</v>
          </cell>
        </row>
        <row r="34">
          <cell r="A34" t="str">
            <v>Attendee 30</v>
          </cell>
          <cell r="B34" t="str">
            <v>attendee30@company.com</v>
          </cell>
        </row>
        <row r="35">
          <cell r="A35" t="str">
            <v>Attendee 31</v>
          </cell>
          <cell r="B35" t="str">
            <v>attendee31@company.com</v>
          </cell>
        </row>
        <row r="36">
          <cell r="A36" t="str">
            <v>Attendee 32</v>
          </cell>
          <cell r="B36" t="str">
            <v>attendee32@company.com</v>
          </cell>
        </row>
        <row r="37">
          <cell r="A37" t="str">
            <v>Attendee 33</v>
          </cell>
          <cell r="B37" t="str">
            <v>attendee33@company.com</v>
          </cell>
        </row>
        <row r="38">
          <cell r="A38" t="str">
            <v>Attendee 34</v>
          </cell>
          <cell r="B38" t="str">
            <v>attendee34@company.com</v>
          </cell>
        </row>
        <row r="39">
          <cell r="A39" t="str">
            <v>Attendee 35</v>
          </cell>
          <cell r="B39" t="str">
            <v>attendee35@company.com</v>
          </cell>
        </row>
        <row r="40">
          <cell r="A40" t="str">
            <v>Attendee 36</v>
          </cell>
          <cell r="B40" t="str">
            <v>attendee36@company.com</v>
          </cell>
        </row>
        <row r="41">
          <cell r="A41" t="str">
            <v>Attendee 37</v>
          </cell>
          <cell r="B41" t="str">
            <v>attendee37@company.com</v>
          </cell>
        </row>
        <row r="42">
          <cell r="A42" t="str">
            <v>Attendee 38</v>
          </cell>
          <cell r="B42" t="str">
            <v>attendee38@company.com</v>
          </cell>
        </row>
        <row r="43">
          <cell r="A43" t="str">
            <v>Attendee 39</v>
          </cell>
          <cell r="B43" t="str">
            <v>attendee39@company.com</v>
          </cell>
        </row>
        <row r="44">
          <cell r="A44" t="str">
            <v>Attendee 40</v>
          </cell>
          <cell r="B44" t="str">
            <v>attendee40@company.com</v>
          </cell>
        </row>
        <row r="45">
          <cell r="A45" t="str">
            <v>Attendee 41</v>
          </cell>
          <cell r="B45" t="str">
            <v>attendee41@company.com</v>
          </cell>
        </row>
        <row r="46">
          <cell r="A46" t="str">
            <v>Attendee 42</v>
          </cell>
          <cell r="B46" t="str">
            <v>attendee42@company.com</v>
          </cell>
        </row>
        <row r="47">
          <cell r="A47" t="str">
            <v>Attendee 43</v>
          </cell>
          <cell r="B47" t="str">
            <v>attendee43@company.com</v>
          </cell>
        </row>
        <row r="48">
          <cell r="A48" t="str">
            <v>Attendee 28</v>
          </cell>
          <cell r="B48" t="str">
            <v>attendee28@company.com</v>
          </cell>
        </row>
        <row r="49">
          <cell r="A49" t="str">
            <v>Attendee 29</v>
          </cell>
          <cell r="B49" t="str">
            <v>attendee29@company.com</v>
          </cell>
        </row>
        <row r="50">
          <cell r="A50" t="str">
            <v>Attendee 30</v>
          </cell>
          <cell r="B50" t="str">
            <v>attendee30@company.com</v>
          </cell>
        </row>
        <row r="51">
          <cell r="A51" t="str">
            <v>Attendee 31</v>
          </cell>
          <cell r="B51" t="str">
            <v>attendee31@company.com</v>
          </cell>
        </row>
        <row r="52">
          <cell r="A52" t="str">
            <v>Attendee 44</v>
          </cell>
          <cell r="B52" t="str">
            <v>attendee44@company.com</v>
          </cell>
        </row>
        <row r="53">
          <cell r="A53" t="str">
            <v>Attendee 45</v>
          </cell>
          <cell r="B53" t="str">
            <v>attendee45@company.com</v>
          </cell>
        </row>
        <row r="54">
          <cell r="A54" t="str">
            <v>Attendee 46</v>
          </cell>
          <cell r="B54" t="str">
            <v>attendee46@company.com</v>
          </cell>
        </row>
        <row r="55">
          <cell r="A55" t="str">
            <v>Attendee 47</v>
          </cell>
          <cell r="B55" t="str">
            <v>attendee47@company.com</v>
          </cell>
        </row>
        <row r="56">
          <cell r="A56" t="str">
            <v>Attendee 48</v>
          </cell>
          <cell r="B56" t="str">
            <v>attendee48@company.com</v>
          </cell>
        </row>
        <row r="57">
          <cell r="A57" t="str">
            <v>Attendee 49</v>
          </cell>
          <cell r="B57" t="str">
            <v>attendee49@company.com</v>
          </cell>
        </row>
        <row r="58">
          <cell r="A58" t="str">
            <v>Attendee 50</v>
          </cell>
          <cell r="B58" t="str">
            <v>attendee50@company.com</v>
          </cell>
        </row>
      </sheetData>
      <sheetData sheetId="1">
        <row r="1">
          <cell r="A1" t="str">
            <v>Name</v>
          </cell>
          <cell r="B1" t="str">
            <v>Department</v>
          </cell>
        </row>
        <row r="2">
          <cell r="A2" t="str">
            <v>Attendee 1</v>
          </cell>
          <cell r="B2" t="str">
            <v>Marketing</v>
          </cell>
        </row>
        <row r="3">
          <cell r="A3" t="str">
            <v>Attendee 2</v>
          </cell>
          <cell r="B3" t="str">
            <v>Sales</v>
          </cell>
        </row>
        <row r="4">
          <cell r="A4" t="str">
            <v>Attendee 3</v>
          </cell>
          <cell r="B4" t="str">
            <v>HR</v>
          </cell>
        </row>
        <row r="5">
          <cell r="A5" t="str">
            <v>Attendee 4</v>
          </cell>
          <cell r="B5" t="str">
            <v>IT</v>
          </cell>
        </row>
        <row r="6">
          <cell r="A6" t="str">
            <v>Attendee 5</v>
          </cell>
          <cell r="B6" t="str">
            <v>Finance</v>
          </cell>
        </row>
        <row r="7">
          <cell r="A7" t="str">
            <v>Attendee 6</v>
          </cell>
          <cell r="B7" t="str">
            <v>Marketing</v>
          </cell>
        </row>
        <row r="8">
          <cell r="A8" t="str">
            <v>Attendee 7</v>
          </cell>
          <cell r="B8" t="str">
            <v>Sales</v>
          </cell>
        </row>
        <row r="9">
          <cell r="A9" t="str">
            <v>Attendee 8</v>
          </cell>
          <cell r="B9" t="str">
            <v>HR</v>
          </cell>
        </row>
        <row r="10">
          <cell r="A10" t="str">
            <v>Attendee 9</v>
          </cell>
          <cell r="B10" t="str">
            <v>IT</v>
          </cell>
        </row>
        <row r="11">
          <cell r="A11" t="str">
            <v>Attendee 10</v>
          </cell>
          <cell r="B11" t="str">
            <v>Finance</v>
          </cell>
        </row>
        <row r="12">
          <cell r="A12" t="str">
            <v>Attendee 11</v>
          </cell>
          <cell r="B12" t="str">
            <v>Marketing</v>
          </cell>
        </row>
        <row r="13">
          <cell r="A13" t="str">
            <v>Attendee 12</v>
          </cell>
          <cell r="B13" t="str">
            <v>Sales</v>
          </cell>
        </row>
        <row r="14">
          <cell r="A14" t="str">
            <v>Attendee 13</v>
          </cell>
          <cell r="B14" t="str">
            <v>HR</v>
          </cell>
        </row>
        <row r="15">
          <cell r="A15" t="str">
            <v>Attendee 14</v>
          </cell>
          <cell r="B15" t="str">
            <v>IT</v>
          </cell>
        </row>
        <row r="16">
          <cell r="A16" t="str">
            <v>Attendee 15</v>
          </cell>
          <cell r="B16" t="str">
            <v>Finance</v>
          </cell>
        </row>
        <row r="17">
          <cell r="A17" t="str">
            <v>Attendee 16</v>
          </cell>
          <cell r="B17" t="str">
            <v>Marketing</v>
          </cell>
        </row>
        <row r="18">
          <cell r="A18" t="str">
            <v>Attendee 17</v>
          </cell>
          <cell r="B18" t="str">
            <v>Sales</v>
          </cell>
        </row>
        <row r="19">
          <cell r="A19" t="str">
            <v>Attendee 18</v>
          </cell>
          <cell r="B19" t="str">
            <v>HR</v>
          </cell>
        </row>
        <row r="20">
          <cell r="A20" t="str">
            <v>Attendee 19</v>
          </cell>
          <cell r="B20" t="str">
            <v>IT</v>
          </cell>
        </row>
        <row r="21">
          <cell r="A21" t="str">
            <v>Attendee 20</v>
          </cell>
          <cell r="B21" t="str">
            <v>Finance</v>
          </cell>
        </row>
        <row r="22">
          <cell r="A22" t="str">
            <v>Attendee 21</v>
          </cell>
          <cell r="B22" t="str">
            <v>Marketing</v>
          </cell>
        </row>
        <row r="23">
          <cell r="A23" t="str">
            <v>Attendee 22</v>
          </cell>
          <cell r="B23" t="str">
            <v>Sales</v>
          </cell>
        </row>
        <row r="24">
          <cell r="A24" t="str">
            <v>Attendee 23</v>
          </cell>
          <cell r="B24" t="str">
            <v>HR</v>
          </cell>
        </row>
        <row r="25">
          <cell r="A25" t="str">
            <v>Attendee 24</v>
          </cell>
          <cell r="B25" t="str">
            <v>IT</v>
          </cell>
        </row>
        <row r="26">
          <cell r="A26" t="str">
            <v>Attendee 25</v>
          </cell>
          <cell r="B26" t="str">
            <v>Finance</v>
          </cell>
        </row>
        <row r="27">
          <cell r="A27" t="str">
            <v>Attendee 26</v>
          </cell>
          <cell r="B27" t="str">
            <v>Marketing</v>
          </cell>
        </row>
        <row r="28">
          <cell r="A28" t="str">
            <v>Attendee 27</v>
          </cell>
          <cell r="B28" t="str">
            <v>Sales</v>
          </cell>
        </row>
        <row r="29">
          <cell r="A29" t="str">
            <v>Attendee 28</v>
          </cell>
          <cell r="B29" t="str">
            <v>HR</v>
          </cell>
        </row>
        <row r="30">
          <cell r="A30" t="str">
            <v>Attendee 29</v>
          </cell>
          <cell r="B30" t="str">
            <v>IT</v>
          </cell>
        </row>
        <row r="31">
          <cell r="A31" t="str">
            <v>Attendee 30</v>
          </cell>
          <cell r="B31" t="str">
            <v>Finance</v>
          </cell>
        </row>
        <row r="32">
          <cell r="A32" t="str">
            <v>Attendee 31</v>
          </cell>
          <cell r="B32" t="str">
            <v>Marketing</v>
          </cell>
        </row>
        <row r="33">
          <cell r="A33" t="str">
            <v>Attendee 32</v>
          </cell>
          <cell r="B33" t="str">
            <v>Sales</v>
          </cell>
        </row>
        <row r="34">
          <cell r="A34" t="str">
            <v>Attendee 33</v>
          </cell>
          <cell r="B34" t="str">
            <v>HR</v>
          </cell>
        </row>
        <row r="35">
          <cell r="A35" t="str">
            <v>Attendee 34</v>
          </cell>
          <cell r="B35" t="str">
            <v>IT</v>
          </cell>
        </row>
        <row r="36">
          <cell r="A36" t="str">
            <v>Attendee 35</v>
          </cell>
          <cell r="B36" t="str">
            <v>Finance</v>
          </cell>
        </row>
        <row r="37">
          <cell r="A37" t="str">
            <v>Attendee 36</v>
          </cell>
          <cell r="B37" t="str">
            <v>Marketing</v>
          </cell>
        </row>
        <row r="38">
          <cell r="A38" t="str">
            <v>Attendee 37</v>
          </cell>
          <cell r="B38" t="str">
            <v>Sales</v>
          </cell>
        </row>
        <row r="39">
          <cell r="A39" t="str">
            <v>Attendee 38</v>
          </cell>
          <cell r="B39" t="str">
            <v>HR</v>
          </cell>
        </row>
        <row r="40">
          <cell r="A40" t="str">
            <v>Attendee 39</v>
          </cell>
          <cell r="B40" t="str">
            <v>IT</v>
          </cell>
        </row>
        <row r="41">
          <cell r="A41" t="str">
            <v>Attendee 40</v>
          </cell>
          <cell r="B41" t="str">
            <v>Finance</v>
          </cell>
        </row>
        <row r="42">
          <cell r="A42" t="str">
            <v>Attendee 41</v>
          </cell>
          <cell r="B42" t="str">
            <v>Marketing</v>
          </cell>
        </row>
        <row r="43">
          <cell r="A43" t="str">
            <v>Attendee 42</v>
          </cell>
          <cell r="B43" t="str">
            <v>Sales</v>
          </cell>
        </row>
        <row r="44">
          <cell r="A44" t="str">
            <v>Attendee 43</v>
          </cell>
          <cell r="B44" t="str">
            <v>HR</v>
          </cell>
        </row>
        <row r="45">
          <cell r="A45" t="str">
            <v>Attendee 44</v>
          </cell>
          <cell r="B45" t="str">
            <v>IT</v>
          </cell>
        </row>
        <row r="46">
          <cell r="A46" t="str">
            <v>Attendee 45</v>
          </cell>
          <cell r="B46" t="str">
            <v>Finance</v>
          </cell>
        </row>
        <row r="47">
          <cell r="A47" t="str">
            <v>Attendee 46</v>
          </cell>
          <cell r="B47" t="str">
            <v>Marketing</v>
          </cell>
        </row>
        <row r="48">
          <cell r="A48" t="str">
            <v>Attendee 47</v>
          </cell>
          <cell r="B48" t="str">
            <v>Sales</v>
          </cell>
        </row>
        <row r="49">
          <cell r="A49" t="str">
            <v>Attendee 48</v>
          </cell>
          <cell r="B49" t="str">
            <v>HR</v>
          </cell>
        </row>
        <row r="50">
          <cell r="A50" t="str">
            <v>Attendee 49</v>
          </cell>
          <cell r="B50" t="str">
            <v>IT</v>
          </cell>
        </row>
        <row r="51">
          <cell r="A51" t="str">
            <v>Attendee 50</v>
          </cell>
          <cell r="B51" t="str">
            <v>Finance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on%20profit%20event%20datas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 Majumder" refreshedDate="46009.913982523147" createdVersion="8" refreshedVersion="8" minRefreshableVersion="3" recordCount="250" xr:uid="{B5FD1599-A2E6-4F5C-8EED-E999D495D0AB}">
  <cacheSource type="worksheet">
    <worksheetSource ref="A1:E251" sheet="List3_Details" r:id="rId2"/>
  </cacheSource>
  <cacheFields count="5">
    <cacheField name="Name" numFmtId="0">
      <sharedItems/>
    </cacheField>
    <cacheField name="Date" numFmtId="15">
      <sharedItems containsSemiMixedTypes="0" containsNonDate="0" containsDate="1" containsString="0" minDate="2024-07-01T00:00:00" maxDate="2024-07-06T00:00:00" count="5">
        <d v="2024-07-01T00:00:00"/>
        <d v="2024-07-02T00:00:00"/>
        <d v="2024-07-03T00:00:00"/>
        <d v="2024-07-04T00:00:00"/>
        <d v="2024-07-05T00:00:00"/>
      </sharedItems>
    </cacheField>
    <cacheField name="Attended" numFmtId="0">
      <sharedItems/>
    </cacheField>
    <cacheField name="Count" numFmtId="0">
      <sharedItems containsSemiMixedTypes="0" containsString="0" containsNumber="1" containsInteger="1" minValue="0" maxValue="1"/>
    </cacheField>
    <cacheField name="Attendance Status" numFmtId="0">
      <sharedItems count="2">
        <s v="Present"/>
        <s v="Abs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 Majumder" refreshedDate="46010.012743749998" createdVersion="8" refreshedVersion="8" minRefreshableVersion="3" recordCount="50" xr:uid="{D7C0C44B-4102-43F8-8E8D-51C1323B2A1F}">
  <cacheSource type="worksheet">
    <worksheetSource name="Table1"/>
  </cacheSource>
  <cacheFields count="8">
    <cacheField name="Name" numFmtId="0">
      <sharedItems/>
    </cacheField>
    <cacheField name="Month" numFmtId="164">
      <sharedItems containsSemiMixedTypes="0" containsNonDate="0" containsDate="1" containsString="0" minDate="2024-07-01T00:00:00" maxDate="2024-07-02T00:00:00"/>
    </cacheField>
    <cacheField name="Contact" numFmtId="0">
      <sharedItems/>
    </cacheField>
    <cacheField name="Group/ Department" numFmtId="0">
      <sharedItems count="5">
        <s v="Marketing"/>
        <s v="Finance"/>
        <s v="Sales"/>
        <s v="HR"/>
        <s v="IT"/>
      </sharedItems>
    </cacheField>
    <cacheField name="Total days present" numFmtId="0">
      <sharedItems containsSemiMixedTypes="0" containsString="0" containsNumber="1" containsInteger="1" minValue="5" maxValue="5"/>
    </cacheField>
    <cacheField name="Actual days present" numFmtId="0">
      <sharedItems containsSemiMixedTypes="0" containsString="0" containsNumber="1" containsInteger="1" minValue="0" maxValue="5"/>
    </cacheField>
    <cacheField name="Attendance Percentage" numFmtId="9">
      <sharedItems containsSemiMixedTypes="0" containsString="0" containsNumber="1" minValue="0" maxValue="1"/>
    </cacheField>
    <cacheField name="Attendance requirement m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ttendee 1"/>
    <x v="0"/>
    <s v="Yes"/>
    <n v="1"/>
    <x v="0"/>
  </r>
  <r>
    <s v="Attendee 1"/>
    <x v="1"/>
    <s v="No"/>
    <n v="0"/>
    <x v="1"/>
  </r>
  <r>
    <s v="Attendee 1"/>
    <x v="2"/>
    <s v="No"/>
    <n v="0"/>
    <x v="1"/>
  </r>
  <r>
    <s v="Attendee 1"/>
    <x v="3"/>
    <s v="Yes"/>
    <n v="1"/>
    <x v="0"/>
  </r>
  <r>
    <s v="Attendee 1"/>
    <x v="4"/>
    <s v="No"/>
    <n v="0"/>
    <x v="1"/>
  </r>
  <r>
    <s v="Attendee 10"/>
    <x v="0"/>
    <s v="No"/>
    <n v="0"/>
    <x v="1"/>
  </r>
  <r>
    <s v="Attendee 10"/>
    <x v="1"/>
    <s v="Yes"/>
    <n v="1"/>
    <x v="0"/>
  </r>
  <r>
    <s v="Attendee 10"/>
    <x v="2"/>
    <s v="Yes"/>
    <n v="1"/>
    <x v="0"/>
  </r>
  <r>
    <s v="Attendee 10"/>
    <x v="3"/>
    <s v="No"/>
    <n v="0"/>
    <x v="1"/>
  </r>
  <r>
    <s v="Attendee 10"/>
    <x v="4"/>
    <s v="No"/>
    <n v="0"/>
    <x v="1"/>
  </r>
  <r>
    <s v="Attendee 11"/>
    <x v="0"/>
    <s v="Yes"/>
    <n v="1"/>
    <x v="0"/>
  </r>
  <r>
    <s v="Attendee 11"/>
    <x v="1"/>
    <s v="No"/>
    <n v="0"/>
    <x v="1"/>
  </r>
  <r>
    <s v="Attendee 11"/>
    <x v="2"/>
    <s v="Yes"/>
    <n v="1"/>
    <x v="0"/>
  </r>
  <r>
    <s v="Attendee 11"/>
    <x v="3"/>
    <s v="Yes"/>
    <n v="1"/>
    <x v="0"/>
  </r>
  <r>
    <s v="Attendee 11"/>
    <x v="4"/>
    <s v="No"/>
    <n v="0"/>
    <x v="1"/>
  </r>
  <r>
    <s v="Attendee 12"/>
    <x v="0"/>
    <s v="No"/>
    <n v="0"/>
    <x v="1"/>
  </r>
  <r>
    <s v="Attendee 12"/>
    <x v="1"/>
    <s v="No"/>
    <n v="0"/>
    <x v="1"/>
  </r>
  <r>
    <s v="Attendee 12"/>
    <x v="2"/>
    <s v="No"/>
    <n v="0"/>
    <x v="1"/>
  </r>
  <r>
    <s v="Attendee 12"/>
    <x v="3"/>
    <s v="No"/>
    <n v="0"/>
    <x v="1"/>
  </r>
  <r>
    <s v="Attendee 12"/>
    <x v="4"/>
    <s v="No"/>
    <n v="0"/>
    <x v="1"/>
  </r>
  <r>
    <s v="Attendee 13"/>
    <x v="0"/>
    <s v="Yes"/>
    <n v="1"/>
    <x v="0"/>
  </r>
  <r>
    <s v="Attendee 13"/>
    <x v="1"/>
    <s v="Yes"/>
    <n v="1"/>
    <x v="0"/>
  </r>
  <r>
    <s v="Attendee 13"/>
    <x v="2"/>
    <s v="No"/>
    <n v="0"/>
    <x v="1"/>
  </r>
  <r>
    <s v="Attendee 13"/>
    <x v="3"/>
    <s v="No"/>
    <n v="0"/>
    <x v="1"/>
  </r>
  <r>
    <s v="Attendee 13"/>
    <x v="4"/>
    <s v="Yes"/>
    <n v="1"/>
    <x v="0"/>
  </r>
  <r>
    <s v="Attendee 14"/>
    <x v="0"/>
    <s v="No"/>
    <n v="0"/>
    <x v="1"/>
  </r>
  <r>
    <s v="Attendee 14"/>
    <x v="1"/>
    <s v="Yes"/>
    <n v="1"/>
    <x v="0"/>
  </r>
  <r>
    <s v="Attendee 14"/>
    <x v="2"/>
    <s v="No"/>
    <n v="0"/>
    <x v="1"/>
  </r>
  <r>
    <s v="Attendee 14"/>
    <x v="3"/>
    <s v="Yes"/>
    <n v="1"/>
    <x v="0"/>
  </r>
  <r>
    <s v="Attendee 14"/>
    <x v="4"/>
    <s v="Yes"/>
    <n v="1"/>
    <x v="0"/>
  </r>
  <r>
    <s v="Attendee 15"/>
    <x v="0"/>
    <s v="Yes"/>
    <n v="1"/>
    <x v="0"/>
  </r>
  <r>
    <s v="Attendee 15"/>
    <x v="1"/>
    <s v="Yes"/>
    <n v="1"/>
    <x v="0"/>
  </r>
  <r>
    <s v="Attendee 15"/>
    <x v="2"/>
    <s v="No"/>
    <n v="0"/>
    <x v="1"/>
  </r>
  <r>
    <s v="Attendee 15"/>
    <x v="3"/>
    <s v="Yes"/>
    <n v="1"/>
    <x v="0"/>
  </r>
  <r>
    <s v="Attendee 15"/>
    <x v="4"/>
    <s v="No"/>
    <n v="0"/>
    <x v="1"/>
  </r>
  <r>
    <s v="Attendee 16"/>
    <x v="0"/>
    <s v="No"/>
    <n v="0"/>
    <x v="1"/>
  </r>
  <r>
    <s v="Attendee 16"/>
    <x v="1"/>
    <s v="No"/>
    <n v="0"/>
    <x v="1"/>
  </r>
  <r>
    <s v="Attendee 16"/>
    <x v="2"/>
    <s v="No"/>
    <n v="0"/>
    <x v="1"/>
  </r>
  <r>
    <s v="Attendee 16"/>
    <x v="3"/>
    <s v="Yes"/>
    <n v="1"/>
    <x v="0"/>
  </r>
  <r>
    <s v="Attendee 16"/>
    <x v="4"/>
    <s v="Yes"/>
    <n v="1"/>
    <x v="0"/>
  </r>
  <r>
    <s v="Attendee 17"/>
    <x v="0"/>
    <s v="Yes"/>
    <n v="1"/>
    <x v="0"/>
  </r>
  <r>
    <s v="Attendee 17"/>
    <x v="1"/>
    <s v="No"/>
    <n v="0"/>
    <x v="1"/>
  </r>
  <r>
    <s v="Attendee 17"/>
    <x v="2"/>
    <s v="Yes"/>
    <n v="1"/>
    <x v="0"/>
  </r>
  <r>
    <s v="Attendee 17"/>
    <x v="3"/>
    <s v="No"/>
    <n v="0"/>
    <x v="1"/>
  </r>
  <r>
    <s v="Attendee 17"/>
    <x v="4"/>
    <s v="Yes"/>
    <n v="1"/>
    <x v="0"/>
  </r>
  <r>
    <s v="Attendee 18"/>
    <x v="0"/>
    <s v="No"/>
    <n v="0"/>
    <x v="1"/>
  </r>
  <r>
    <s v="Attendee 18"/>
    <x v="1"/>
    <s v="Yes"/>
    <n v="1"/>
    <x v="0"/>
  </r>
  <r>
    <s v="Attendee 18"/>
    <x v="2"/>
    <s v="Yes"/>
    <n v="1"/>
    <x v="0"/>
  </r>
  <r>
    <s v="Attendee 18"/>
    <x v="3"/>
    <s v="No"/>
    <n v="0"/>
    <x v="1"/>
  </r>
  <r>
    <s v="Attendee 18"/>
    <x v="4"/>
    <s v="Yes"/>
    <n v="1"/>
    <x v="0"/>
  </r>
  <r>
    <s v="Attendee 19"/>
    <x v="0"/>
    <s v="Yes"/>
    <n v="1"/>
    <x v="0"/>
  </r>
  <r>
    <s v="Attendee 19"/>
    <x v="1"/>
    <s v="Yes"/>
    <n v="1"/>
    <x v="0"/>
  </r>
  <r>
    <s v="Attendee 19"/>
    <x v="2"/>
    <s v="Yes"/>
    <n v="1"/>
    <x v="0"/>
  </r>
  <r>
    <s v="Attendee 19"/>
    <x v="3"/>
    <s v="No"/>
    <n v="0"/>
    <x v="1"/>
  </r>
  <r>
    <s v="Attendee 19"/>
    <x v="4"/>
    <s v="No"/>
    <n v="0"/>
    <x v="1"/>
  </r>
  <r>
    <s v="Attendee 2"/>
    <x v="0"/>
    <s v="No"/>
    <n v="0"/>
    <x v="1"/>
  </r>
  <r>
    <s v="Attendee 2"/>
    <x v="1"/>
    <s v="Yes"/>
    <n v="1"/>
    <x v="0"/>
  </r>
  <r>
    <s v="Attendee 2"/>
    <x v="2"/>
    <s v="Yes"/>
    <n v="1"/>
    <x v="0"/>
  </r>
  <r>
    <s v="Attendee 2"/>
    <x v="3"/>
    <s v="Yes"/>
    <n v="1"/>
    <x v="0"/>
  </r>
  <r>
    <s v="Attendee 2"/>
    <x v="4"/>
    <s v="No"/>
    <n v="0"/>
    <x v="1"/>
  </r>
  <r>
    <s v="Attendee 20"/>
    <x v="0"/>
    <s v="No"/>
    <n v="0"/>
    <x v="1"/>
  </r>
  <r>
    <s v="Attendee 20"/>
    <x v="1"/>
    <s v="No"/>
    <n v="0"/>
    <x v="1"/>
  </r>
  <r>
    <s v="Attendee 20"/>
    <x v="2"/>
    <s v="No"/>
    <n v="0"/>
    <x v="1"/>
  </r>
  <r>
    <s v="Attendee 20"/>
    <x v="3"/>
    <s v="Yes"/>
    <n v="1"/>
    <x v="0"/>
  </r>
  <r>
    <s v="Attendee 20"/>
    <x v="4"/>
    <s v="Yes"/>
    <n v="1"/>
    <x v="0"/>
  </r>
  <r>
    <s v="Attendee 21"/>
    <x v="0"/>
    <s v="Yes"/>
    <n v="1"/>
    <x v="0"/>
  </r>
  <r>
    <s v="Attendee 21"/>
    <x v="1"/>
    <s v="No"/>
    <n v="0"/>
    <x v="1"/>
  </r>
  <r>
    <s v="Attendee 21"/>
    <x v="2"/>
    <s v="Yes"/>
    <n v="1"/>
    <x v="0"/>
  </r>
  <r>
    <s v="Attendee 21"/>
    <x v="3"/>
    <s v="No"/>
    <n v="0"/>
    <x v="1"/>
  </r>
  <r>
    <s v="Attendee 21"/>
    <x v="4"/>
    <s v="Yes"/>
    <n v="1"/>
    <x v="0"/>
  </r>
  <r>
    <s v="Attendee 22"/>
    <x v="0"/>
    <s v="No"/>
    <n v="0"/>
    <x v="1"/>
  </r>
  <r>
    <s v="Attendee 22"/>
    <x v="1"/>
    <s v="Yes"/>
    <n v="1"/>
    <x v="0"/>
  </r>
  <r>
    <s v="Attendee 22"/>
    <x v="2"/>
    <s v="No"/>
    <n v="0"/>
    <x v="1"/>
  </r>
  <r>
    <s v="Attendee 22"/>
    <x v="3"/>
    <s v="No"/>
    <n v="0"/>
    <x v="1"/>
  </r>
  <r>
    <s v="Attendee 22"/>
    <x v="4"/>
    <s v="No"/>
    <n v="0"/>
    <x v="1"/>
  </r>
  <r>
    <s v="Attendee 23"/>
    <x v="0"/>
    <s v="Yes"/>
    <n v="1"/>
    <x v="0"/>
  </r>
  <r>
    <s v="Attendee 23"/>
    <x v="1"/>
    <s v="Yes"/>
    <n v="1"/>
    <x v="0"/>
  </r>
  <r>
    <s v="Attendee 23"/>
    <x v="2"/>
    <s v="No"/>
    <n v="0"/>
    <x v="1"/>
  </r>
  <r>
    <s v="Attendee 23"/>
    <x v="3"/>
    <s v="Yes"/>
    <n v="1"/>
    <x v="0"/>
  </r>
  <r>
    <s v="Attendee 23"/>
    <x v="4"/>
    <s v="No"/>
    <n v="0"/>
    <x v="1"/>
  </r>
  <r>
    <s v="Attendee 24"/>
    <x v="0"/>
    <s v="No"/>
    <n v="0"/>
    <x v="1"/>
  </r>
  <r>
    <s v="Attendee 24"/>
    <x v="1"/>
    <s v="Yes"/>
    <n v="1"/>
    <x v="0"/>
  </r>
  <r>
    <s v="Attendee 24"/>
    <x v="2"/>
    <s v="Yes"/>
    <n v="1"/>
    <x v="0"/>
  </r>
  <r>
    <s v="Attendee 24"/>
    <x v="3"/>
    <s v="No"/>
    <n v="0"/>
    <x v="1"/>
  </r>
  <r>
    <s v="Attendee 24"/>
    <x v="4"/>
    <s v="No"/>
    <n v="0"/>
    <x v="1"/>
  </r>
  <r>
    <s v="Attendee 25"/>
    <x v="0"/>
    <s v="Yes"/>
    <n v="1"/>
    <x v="0"/>
  </r>
  <r>
    <s v="Attendee 25"/>
    <x v="1"/>
    <s v="No"/>
    <n v="0"/>
    <x v="1"/>
  </r>
  <r>
    <s v="Attendee 25"/>
    <x v="2"/>
    <s v="No"/>
    <n v="0"/>
    <x v="1"/>
  </r>
  <r>
    <s v="Attendee 25"/>
    <x v="3"/>
    <s v="Yes"/>
    <n v="1"/>
    <x v="0"/>
  </r>
  <r>
    <s v="Attendee 25"/>
    <x v="4"/>
    <s v="No"/>
    <n v="0"/>
    <x v="1"/>
  </r>
  <r>
    <s v="Attendee 26"/>
    <x v="0"/>
    <s v="No"/>
    <n v="0"/>
    <x v="1"/>
  </r>
  <r>
    <s v="Attendee 26"/>
    <x v="1"/>
    <s v="Yes"/>
    <n v="1"/>
    <x v="0"/>
  </r>
  <r>
    <s v="Attendee 26"/>
    <x v="2"/>
    <s v="No"/>
    <n v="0"/>
    <x v="1"/>
  </r>
  <r>
    <s v="Attendee 26"/>
    <x v="3"/>
    <s v="No"/>
    <n v="0"/>
    <x v="1"/>
  </r>
  <r>
    <s v="Attendee 26"/>
    <x v="4"/>
    <s v="Yes"/>
    <n v="1"/>
    <x v="0"/>
  </r>
  <r>
    <s v="Attendee 27"/>
    <x v="0"/>
    <s v="Yes"/>
    <n v="1"/>
    <x v="0"/>
  </r>
  <r>
    <s v="Attendee 27"/>
    <x v="1"/>
    <s v="Yes"/>
    <n v="1"/>
    <x v="0"/>
  </r>
  <r>
    <s v="Attendee 27"/>
    <x v="2"/>
    <s v="No"/>
    <n v="0"/>
    <x v="1"/>
  </r>
  <r>
    <s v="Attendee 27"/>
    <x v="3"/>
    <s v="Yes"/>
    <n v="1"/>
    <x v="0"/>
  </r>
  <r>
    <s v="Attendee 27"/>
    <x v="4"/>
    <s v="Yes"/>
    <n v="1"/>
    <x v="0"/>
  </r>
  <r>
    <s v="Attendee 28"/>
    <x v="0"/>
    <s v="No"/>
    <n v="0"/>
    <x v="1"/>
  </r>
  <r>
    <s v="Attendee 28"/>
    <x v="1"/>
    <s v="No"/>
    <n v="0"/>
    <x v="1"/>
  </r>
  <r>
    <s v="Attendee 28"/>
    <x v="2"/>
    <s v="No"/>
    <n v="0"/>
    <x v="1"/>
  </r>
  <r>
    <s v="Attendee 28"/>
    <x v="3"/>
    <s v="No"/>
    <n v="0"/>
    <x v="1"/>
  </r>
  <r>
    <s v="Attendee 28"/>
    <x v="4"/>
    <s v="No"/>
    <n v="0"/>
    <x v="1"/>
  </r>
  <r>
    <s v="Attendee 29"/>
    <x v="0"/>
    <s v="Yes"/>
    <n v="1"/>
    <x v="0"/>
  </r>
  <r>
    <s v="Attendee 29"/>
    <x v="1"/>
    <s v="No"/>
    <n v="0"/>
    <x v="1"/>
  </r>
  <r>
    <s v="Attendee 29"/>
    <x v="2"/>
    <s v="No"/>
    <n v="0"/>
    <x v="1"/>
  </r>
  <r>
    <s v="Attendee 29"/>
    <x v="3"/>
    <s v="Yes"/>
    <n v="1"/>
    <x v="0"/>
  </r>
  <r>
    <s v="Attendee 29"/>
    <x v="4"/>
    <s v="Yes"/>
    <n v="1"/>
    <x v="0"/>
  </r>
  <r>
    <s v="Attendee 3"/>
    <x v="0"/>
    <s v="Yes"/>
    <n v="1"/>
    <x v="0"/>
  </r>
  <r>
    <s v="Attendee 3"/>
    <x v="1"/>
    <s v="No"/>
    <n v="0"/>
    <x v="1"/>
  </r>
  <r>
    <s v="Attendee 3"/>
    <x v="2"/>
    <s v="Yes"/>
    <n v="1"/>
    <x v="0"/>
  </r>
  <r>
    <s v="Attendee 3"/>
    <x v="3"/>
    <s v="No"/>
    <n v="0"/>
    <x v="1"/>
  </r>
  <r>
    <s v="Attendee 3"/>
    <x v="4"/>
    <s v="No"/>
    <n v="0"/>
    <x v="1"/>
  </r>
  <r>
    <s v="Attendee 30"/>
    <x v="0"/>
    <s v="No"/>
    <n v="0"/>
    <x v="1"/>
  </r>
  <r>
    <s v="Attendee 30"/>
    <x v="1"/>
    <s v="Yes"/>
    <n v="1"/>
    <x v="0"/>
  </r>
  <r>
    <s v="Attendee 30"/>
    <x v="2"/>
    <s v="Yes"/>
    <n v="1"/>
    <x v="0"/>
  </r>
  <r>
    <s v="Attendee 30"/>
    <x v="3"/>
    <s v="Yes"/>
    <n v="1"/>
    <x v="0"/>
  </r>
  <r>
    <s v="Attendee 30"/>
    <x v="4"/>
    <s v="Yes"/>
    <n v="1"/>
    <x v="0"/>
  </r>
  <r>
    <s v="Attendee 31"/>
    <x v="0"/>
    <s v="Yes"/>
    <n v="1"/>
    <x v="0"/>
  </r>
  <r>
    <s v="Attendee 31"/>
    <x v="1"/>
    <s v="No"/>
    <n v="0"/>
    <x v="1"/>
  </r>
  <r>
    <s v="Attendee 31"/>
    <x v="2"/>
    <s v="No"/>
    <n v="0"/>
    <x v="1"/>
  </r>
  <r>
    <s v="Attendee 31"/>
    <x v="3"/>
    <s v="Yes"/>
    <n v="1"/>
    <x v="0"/>
  </r>
  <r>
    <s v="Attendee 31"/>
    <x v="4"/>
    <s v="No"/>
    <n v="0"/>
    <x v="1"/>
  </r>
  <r>
    <s v="Attendee 32"/>
    <x v="0"/>
    <s v="No"/>
    <n v="0"/>
    <x v="1"/>
  </r>
  <r>
    <s v="Attendee 32"/>
    <x v="1"/>
    <s v="No"/>
    <n v="0"/>
    <x v="1"/>
  </r>
  <r>
    <s v="Attendee 32"/>
    <x v="2"/>
    <s v="No"/>
    <n v="0"/>
    <x v="1"/>
  </r>
  <r>
    <s v="Attendee 32"/>
    <x v="3"/>
    <s v="Yes"/>
    <n v="1"/>
    <x v="0"/>
  </r>
  <r>
    <s v="Attendee 32"/>
    <x v="4"/>
    <s v="Yes"/>
    <n v="1"/>
    <x v="0"/>
  </r>
  <r>
    <s v="Attendee 33"/>
    <x v="0"/>
    <s v="Yes"/>
    <n v="1"/>
    <x v="0"/>
  </r>
  <r>
    <s v="Attendee 33"/>
    <x v="1"/>
    <s v="Yes"/>
    <n v="1"/>
    <x v="0"/>
  </r>
  <r>
    <s v="Attendee 33"/>
    <x v="2"/>
    <s v="Yes"/>
    <n v="1"/>
    <x v="0"/>
  </r>
  <r>
    <s v="Attendee 33"/>
    <x v="3"/>
    <s v="Yes"/>
    <n v="1"/>
    <x v="0"/>
  </r>
  <r>
    <s v="Attendee 33"/>
    <x v="4"/>
    <s v="Yes"/>
    <n v="1"/>
    <x v="0"/>
  </r>
  <r>
    <s v="Attendee 34"/>
    <x v="0"/>
    <s v="No"/>
    <n v="0"/>
    <x v="1"/>
  </r>
  <r>
    <s v="Attendee 34"/>
    <x v="1"/>
    <s v="No"/>
    <n v="0"/>
    <x v="1"/>
  </r>
  <r>
    <s v="Attendee 34"/>
    <x v="2"/>
    <s v="Yes"/>
    <n v="1"/>
    <x v="0"/>
  </r>
  <r>
    <s v="Attendee 34"/>
    <x v="3"/>
    <s v="Yes"/>
    <n v="1"/>
    <x v="0"/>
  </r>
  <r>
    <s v="Attendee 34"/>
    <x v="4"/>
    <s v="No"/>
    <n v="0"/>
    <x v="1"/>
  </r>
  <r>
    <s v="Attendee 35"/>
    <x v="0"/>
    <s v="Yes"/>
    <n v="1"/>
    <x v="0"/>
  </r>
  <r>
    <s v="Attendee 35"/>
    <x v="1"/>
    <s v="Yes"/>
    <n v="1"/>
    <x v="0"/>
  </r>
  <r>
    <s v="Attendee 35"/>
    <x v="2"/>
    <s v="No"/>
    <n v="0"/>
    <x v="1"/>
  </r>
  <r>
    <s v="Attendee 35"/>
    <x v="3"/>
    <s v="No"/>
    <n v="0"/>
    <x v="1"/>
  </r>
  <r>
    <s v="Attendee 35"/>
    <x v="4"/>
    <s v="Yes"/>
    <n v="1"/>
    <x v="0"/>
  </r>
  <r>
    <s v="Attendee 36"/>
    <x v="0"/>
    <s v="No"/>
    <n v="0"/>
    <x v="1"/>
  </r>
  <r>
    <s v="Attendee 36"/>
    <x v="1"/>
    <s v="Yes"/>
    <n v="1"/>
    <x v="0"/>
  </r>
  <r>
    <s v="Attendee 36"/>
    <x v="2"/>
    <s v="Yes"/>
    <n v="1"/>
    <x v="0"/>
  </r>
  <r>
    <s v="Attendee 36"/>
    <x v="3"/>
    <s v="Yes"/>
    <n v="1"/>
    <x v="0"/>
  </r>
  <r>
    <s v="Attendee 36"/>
    <x v="4"/>
    <s v="No"/>
    <n v="0"/>
    <x v="1"/>
  </r>
  <r>
    <s v="Attendee 37"/>
    <x v="0"/>
    <s v="Yes"/>
    <n v="1"/>
    <x v="0"/>
  </r>
  <r>
    <s v="Attendee 37"/>
    <x v="1"/>
    <s v="Yes"/>
    <n v="1"/>
    <x v="0"/>
  </r>
  <r>
    <s v="Attendee 37"/>
    <x v="2"/>
    <s v="Yes"/>
    <n v="1"/>
    <x v="0"/>
  </r>
  <r>
    <s v="Attendee 37"/>
    <x v="3"/>
    <s v="No"/>
    <n v="0"/>
    <x v="1"/>
  </r>
  <r>
    <s v="Attendee 37"/>
    <x v="4"/>
    <s v="Yes"/>
    <n v="1"/>
    <x v="0"/>
  </r>
  <r>
    <s v="Attendee 38"/>
    <x v="0"/>
    <s v="No"/>
    <n v="0"/>
    <x v="1"/>
  </r>
  <r>
    <s v="Attendee 38"/>
    <x v="1"/>
    <s v="Yes"/>
    <n v="1"/>
    <x v="0"/>
  </r>
  <r>
    <s v="Attendee 38"/>
    <x v="2"/>
    <s v="No"/>
    <n v="0"/>
    <x v="1"/>
  </r>
  <r>
    <s v="Attendee 38"/>
    <x v="3"/>
    <s v="Yes"/>
    <n v="1"/>
    <x v="0"/>
  </r>
  <r>
    <s v="Attendee 38"/>
    <x v="4"/>
    <s v="Yes"/>
    <n v="1"/>
    <x v="0"/>
  </r>
  <r>
    <s v="Attendee 39"/>
    <x v="0"/>
    <s v="Yes"/>
    <n v="1"/>
    <x v="0"/>
  </r>
  <r>
    <s v="Attendee 39"/>
    <x v="1"/>
    <s v="Yes"/>
    <n v="1"/>
    <x v="0"/>
  </r>
  <r>
    <s v="Attendee 39"/>
    <x v="2"/>
    <s v="Yes"/>
    <n v="1"/>
    <x v="0"/>
  </r>
  <r>
    <s v="Attendee 39"/>
    <x v="3"/>
    <s v="No"/>
    <n v="0"/>
    <x v="1"/>
  </r>
  <r>
    <s v="Attendee 39"/>
    <x v="4"/>
    <s v="Yes"/>
    <n v="1"/>
    <x v="0"/>
  </r>
  <r>
    <s v="Attendee 4"/>
    <x v="0"/>
    <s v="No"/>
    <n v="0"/>
    <x v="1"/>
  </r>
  <r>
    <s v="Attendee 4"/>
    <x v="1"/>
    <s v="No"/>
    <n v="0"/>
    <x v="1"/>
  </r>
  <r>
    <s v="Attendee 4"/>
    <x v="2"/>
    <s v="Yes"/>
    <n v="1"/>
    <x v="0"/>
  </r>
  <r>
    <s v="Attendee 4"/>
    <x v="3"/>
    <s v="Yes"/>
    <n v="1"/>
    <x v="0"/>
  </r>
  <r>
    <s v="Attendee 4"/>
    <x v="4"/>
    <s v="No"/>
    <n v="0"/>
    <x v="1"/>
  </r>
  <r>
    <s v="Attendee 40"/>
    <x v="0"/>
    <s v="No"/>
    <n v="0"/>
    <x v="1"/>
  </r>
  <r>
    <s v="Attendee 40"/>
    <x v="1"/>
    <s v="No"/>
    <n v="0"/>
    <x v="1"/>
  </r>
  <r>
    <s v="Attendee 40"/>
    <x v="2"/>
    <s v="No"/>
    <n v="0"/>
    <x v="1"/>
  </r>
  <r>
    <s v="Attendee 40"/>
    <x v="3"/>
    <s v="Yes"/>
    <n v="1"/>
    <x v="0"/>
  </r>
  <r>
    <s v="Attendee 40"/>
    <x v="4"/>
    <s v="No"/>
    <n v="0"/>
    <x v="1"/>
  </r>
  <r>
    <s v="Attendee 41"/>
    <x v="0"/>
    <s v="Yes"/>
    <n v="1"/>
    <x v="0"/>
  </r>
  <r>
    <s v="Attendee 41"/>
    <x v="1"/>
    <s v="No"/>
    <n v="0"/>
    <x v="1"/>
  </r>
  <r>
    <s v="Attendee 41"/>
    <x v="2"/>
    <s v="Yes"/>
    <n v="1"/>
    <x v="0"/>
  </r>
  <r>
    <s v="Attendee 41"/>
    <x v="3"/>
    <s v="Yes"/>
    <n v="1"/>
    <x v="0"/>
  </r>
  <r>
    <s v="Attendee 41"/>
    <x v="4"/>
    <s v="Yes"/>
    <n v="1"/>
    <x v="0"/>
  </r>
  <r>
    <s v="Attendee 42"/>
    <x v="0"/>
    <s v="No"/>
    <n v="0"/>
    <x v="1"/>
  </r>
  <r>
    <s v="Attendee 42"/>
    <x v="1"/>
    <s v="No"/>
    <n v="0"/>
    <x v="1"/>
  </r>
  <r>
    <s v="Attendee 42"/>
    <x v="2"/>
    <s v="No"/>
    <n v="0"/>
    <x v="1"/>
  </r>
  <r>
    <s v="Attendee 42"/>
    <x v="3"/>
    <s v="Yes"/>
    <n v="1"/>
    <x v="0"/>
  </r>
  <r>
    <s v="Attendee 42"/>
    <x v="4"/>
    <s v="No"/>
    <n v="0"/>
    <x v="1"/>
  </r>
  <r>
    <s v="Attendee 43"/>
    <x v="0"/>
    <s v="Yes"/>
    <n v="1"/>
    <x v="0"/>
  </r>
  <r>
    <s v="Attendee 43"/>
    <x v="1"/>
    <s v="Yes"/>
    <n v="1"/>
    <x v="0"/>
  </r>
  <r>
    <s v="Attendee 43"/>
    <x v="2"/>
    <s v="No"/>
    <n v="0"/>
    <x v="1"/>
  </r>
  <r>
    <s v="Attendee 43"/>
    <x v="3"/>
    <s v="No"/>
    <n v="0"/>
    <x v="1"/>
  </r>
  <r>
    <s v="Attendee 43"/>
    <x v="4"/>
    <s v="No"/>
    <n v="0"/>
    <x v="1"/>
  </r>
  <r>
    <s v="Attendee 44"/>
    <x v="0"/>
    <s v="No"/>
    <n v="0"/>
    <x v="1"/>
  </r>
  <r>
    <s v="Attendee 44"/>
    <x v="1"/>
    <s v="Yes"/>
    <n v="1"/>
    <x v="0"/>
  </r>
  <r>
    <s v="Attendee 44"/>
    <x v="2"/>
    <s v="No"/>
    <n v="0"/>
    <x v="1"/>
  </r>
  <r>
    <s v="Attendee 44"/>
    <x v="3"/>
    <s v="Yes"/>
    <n v="1"/>
    <x v="0"/>
  </r>
  <r>
    <s v="Attendee 44"/>
    <x v="4"/>
    <s v="No"/>
    <n v="0"/>
    <x v="1"/>
  </r>
  <r>
    <s v="Attendee 45"/>
    <x v="0"/>
    <s v="Yes"/>
    <n v="1"/>
    <x v="0"/>
  </r>
  <r>
    <s v="Attendee 45"/>
    <x v="1"/>
    <s v="No"/>
    <n v="0"/>
    <x v="1"/>
  </r>
  <r>
    <s v="Attendee 45"/>
    <x v="2"/>
    <s v="No"/>
    <n v="0"/>
    <x v="1"/>
  </r>
  <r>
    <s v="Attendee 45"/>
    <x v="3"/>
    <s v="Yes"/>
    <n v="1"/>
    <x v="0"/>
  </r>
  <r>
    <s v="Attendee 45"/>
    <x v="4"/>
    <s v="Yes"/>
    <n v="1"/>
    <x v="0"/>
  </r>
  <r>
    <s v="Attendee 46"/>
    <x v="0"/>
    <s v="No"/>
    <n v="0"/>
    <x v="1"/>
  </r>
  <r>
    <s v="Attendee 46"/>
    <x v="1"/>
    <s v="Yes"/>
    <n v="1"/>
    <x v="0"/>
  </r>
  <r>
    <s v="Attendee 46"/>
    <x v="2"/>
    <s v="Yes"/>
    <n v="1"/>
    <x v="0"/>
  </r>
  <r>
    <s v="Attendee 46"/>
    <x v="3"/>
    <s v="No"/>
    <n v="0"/>
    <x v="1"/>
  </r>
  <r>
    <s v="Attendee 46"/>
    <x v="4"/>
    <s v="No"/>
    <n v="0"/>
    <x v="1"/>
  </r>
  <r>
    <s v="Attendee 47"/>
    <x v="0"/>
    <s v="Yes"/>
    <n v="1"/>
    <x v="0"/>
  </r>
  <r>
    <s v="Attendee 47"/>
    <x v="1"/>
    <s v="Yes"/>
    <n v="1"/>
    <x v="0"/>
  </r>
  <r>
    <s v="Attendee 47"/>
    <x v="2"/>
    <s v="Yes"/>
    <n v="1"/>
    <x v="0"/>
  </r>
  <r>
    <s v="Attendee 47"/>
    <x v="3"/>
    <s v="No"/>
    <n v="0"/>
    <x v="1"/>
  </r>
  <r>
    <s v="Attendee 47"/>
    <x v="4"/>
    <s v="Yes"/>
    <n v="1"/>
    <x v="0"/>
  </r>
  <r>
    <s v="Attendee 48"/>
    <x v="0"/>
    <s v="No"/>
    <n v="0"/>
    <x v="1"/>
  </r>
  <r>
    <s v="Attendee 48"/>
    <x v="1"/>
    <s v="No"/>
    <n v="0"/>
    <x v="1"/>
  </r>
  <r>
    <s v="Attendee 48"/>
    <x v="2"/>
    <s v="No"/>
    <n v="0"/>
    <x v="1"/>
  </r>
  <r>
    <s v="Attendee 48"/>
    <x v="3"/>
    <s v="No"/>
    <n v="0"/>
    <x v="1"/>
  </r>
  <r>
    <s v="Attendee 48"/>
    <x v="4"/>
    <s v="No"/>
    <n v="0"/>
    <x v="1"/>
  </r>
  <r>
    <s v="Attendee 49"/>
    <x v="0"/>
    <s v="Yes"/>
    <n v="1"/>
    <x v="0"/>
  </r>
  <r>
    <s v="Attendee 49"/>
    <x v="1"/>
    <s v="No"/>
    <n v="0"/>
    <x v="1"/>
  </r>
  <r>
    <s v="Attendee 49"/>
    <x v="2"/>
    <s v="No"/>
    <n v="0"/>
    <x v="1"/>
  </r>
  <r>
    <s v="Attendee 49"/>
    <x v="3"/>
    <s v="No"/>
    <n v="0"/>
    <x v="1"/>
  </r>
  <r>
    <s v="Attendee 49"/>
    <x v="4"/>
    <s v="Yes"/>
    <n v="1"/>
    <x v="0"/>
  </r>
  <r>
    <s v="Attendee 5"/>
    <x v="0"/>
    <s v="Yes"/>
    <n v="1"/>
    <x v="0"/>
  </r>
  <r>
    <s v="Attendee 5"/>
    <x v="1"/>
    <s v="No"/>
    <n v="0"/>
    <x v="1"/>
  </r>
  <r>
    <s v="Attendee 5"/>
    <x v="2"/>
    <s v="Yes"/>
    <n v="1"/>
    <x v="0"/>
  </r>
  <r>
    <s v="Attendee 5"/>
    <x v="3"/>
    <s v="Yes"/>
    <n v="1"/>
    <x v="0"/>
  </r>
  <r>
    <s v="Attendee 5"/>
    <x v="4"/>
    <s v="No"/>
    <n v="0"/>
    <x v="1"/>
  </r>
  <r>
    <s v="Attendee 50"/>
    <x v="0"/>
    <s v="No"/>
    <n v="0"/>
    <x v="1"/>
  </r>
  <r>
    <s v="Attendee 50"/>
    <x v="1"/>
    <s v="No"/>
    <n v="0"/>
    <x v="1"/>
  </r>
  <r>
    <s v="Attendee 50"/>
    <x v="2"/>
    <s v="No"/>
    <n v="0"/>
    <x v="1"/>
  </r>
  <r>
    <s v="Attendee 50"/>
    <x v="3"/>
    <s v="Yes"/>
    <n v="1"/>
    <x v="0"/>
  </r>
  <r>
    <s v="Attendee 50"/>
    <x v="4"/>
    <s v="No"/>
    <n v="0"/>
    <x v="1"/>
  </r>
  <r>
    <s v="Attendee 6"/>
    <x v="0"/>
    <s v="No"/>
    <n v="0"/>
    <x v="1"/>
  </r>
  <r>
    <s v="Attendee 6"/>
    <x v="1"/>
    <s v="No"/>
    <n v="0"/>
    <x v="1"/>
  </r>
  <r>
    <s v="Attendee 6"/>
    <x v="2"/>
    <s v="Yes"/>
    <n v="1"/>
    <x v="0"/>
  </r>
  <r>
    <s v="Attendee 6"/>
    <x v="3"/>
    <s v="Yes"/>
    <n v="1"/>
    <x v="0"/>
  </r>
  <r>
    <s v="Attendee 6"/>
    <x v="4"/>
    <s v="Yes"/>
    <n v="1"/>
    <x v="0"/>
  </r>
  <r>
    <s v="Attendee 7"/>
    <x v="0"/>
    <s v="Yes"/>
    <n v="1"/>
    <x v="0"/>
  </r>
  <r>
    <s v="Attendee 7"/>
    <x v="1"/>
    <s v="No"/>
    <n v="0"/>
    <x v="1"/>
  </r>
  <r>
    <s v="Attendee 7"/>
    <x v="2"/>
    <s v="Yes"/>
    <n v="1"/>
    <x v="0"/>
  </r>
  <r>
    <s v="Attendee 7"/>
    <x v="3"/>
    <s v="Yes"/>
    <n v="1"/>
    <x v="0"/>
  </r>
  <r>
    <s v="Attendee 7"/>
    <x v="4"/>
    <s v="Yes"/>
    <n v="1"/>
    <x v="0"/>
  </r>
  <r>
    <s v="Attendee 8"/>
    <x v="0"/>
    <s v="No"/>
    <n v="0"/>
    <x v="1"/>
  </r>
  <r>
    <s v="Attendee 8"/>
    <x v="1"/>
    <s v="Yes"/>
    <n v="1"/>
    <x v="0"/>
  </r>
  <r>
    <s v="Attendee 8"/>
    <x v="2"/>
    <s v="Yes"/>
    <n v="1"/>
    <x v="0"/>
  </r>
  <r>
    <s v="Attendee 8"/>
    <x v="3"/>
    <s v="Yes"/>
    <n v="1"/>
    <x v="0"/>
  </r>
  <r>
    <s v="Attendee 8"/>
    <x v="4"/>
    <s v="No"/>
    <n v="0"/>
    <x v="1"/>
  </r>
  <r>
    <s v="Attendee 9"/>
    <x v="0"/>
    <s v="Yes"/>
    <n v="1"/>
    <x v="0"/>
  </r>
  <r>
    <s v="Attendee 9"/>
    <x v="1"/>
    <s v="Yes"/>
    <n v="1"/>
    <x v="0"/>
  </r>
  <r>
    <s v="Attendee 9"/>
    <x v="2"/>
    <s v="Yes"/>
    <n v="1"/>
    <x v="0"/>
  </r>
  <r>
    <s v="Attendee 9"/>
    <x v="3"/>
    <s v="Yes"/>
    <n v="1"/>
    <x v="0"/>
  </r>
  <r>
    <s v="Attendee 9"/>
    <x v="4"/>
    <s v="No"/>
    <n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ttendee 1"/>
    <d v="2024-07-01T00:00:00"/>
    <s v="attendee1@company.com"/>
    <x v="0"/>
    <n v="5"/>
    <n v="2"/>
    <n v="0.4"/>
    <s v="Not met"/>
  </r>
  <r>
    <s v="Attendee 10"/>
    <d v="2024-07-01T00:00:00"/>
    <s v="attendee10@company.com"/>
    <x v="1"/>
    <n v="5"/>
    <n v="2"/>
    <n v="0.4"/>
    <s v="Requirement met"/>
  </r>
  <r>
    <s v="Attendee 11"/>
    <d v="2024-07-01T00:00:00"/>
    <s v="attendee11@company.com"/>
    <x v="0"/>
    <n v="5"/>
    <n v="3"/>
    <n v="0.6"/>
    <s v="Not met"/>
  </r>
  <r>
    <s v="Attendee 12"/>
    <d v="2024-07-01T00:00:00"/>
    <s v="attendee12@company.com"/>
    <x v="2"/>
    <n v="5"/>
    <n v="0"/>
    <n v="0"/>
    <s v="Not met"/>
  </r>
  <r>
    <s v="Attendee 13"/>
    <d v="2024-07-01T00:00:00"/>
    <s v="attendee13@company.com"/>
    <x v="3"/>
    <n v="5"/>
    <n v="3"/>
    <n v="0.6"/>
    <s v="Not met"/>
  </r>
  <r>
    <s v="Attendee 14"/>
    <d v="2024-07-01T00:00:00"/>
    <s v="attendee14@company.com"/>
    <x v="4"/>
    <n v="5"/>
    <n v="3"/>
    <n v="0.6"/>
    <s v="Requirement met"/>
  </r>
  <r>
    <s v="Attendee 15"/>
    <d v="2024-07-01T00:00:00"/>
    <s v="attendee15@company.com"/>
    <x v="1"/>
    <n v="5"/>
    <n v="3"/>
    <n v="0.6"/>
    <s v="Requirement met"/>
  </r>
  <r>
    <s v="Attendee 16"/>
    <d v="2024-07-01T00:00:00"/>
    <s v="attendee16@company.com"/>
    <x v="0"/>
    <n v="5"/>
    <n v="2"/>
    <n v="0.4"/>
    <s v="Not met"/>
  </r>
  <r>
    <s v="Attendee 17"/>
    <d v="2024-07-01T00:00:00"/>
    <s v="attendee17@company.com"/>
    <x v="2"/>
    <n v="5"/>
    <n v="3"/>
    <n v="0.6"/>
    <s v="Not met"/>
  </r>
  <r>
    <s v="Attendee 18"/>
    <d v="2024-07-01T00:00:00"/>
    <s v="attendee18@company.com"/>
    <x v="3"/>
    <n v="5"/>
    <n v="3"/>
    <n v="0.6"/>
    <s v="Not met"/>
  </r>
  <r>
    <s v="Attendee 19"/>
    <d v="2024-07-01T00:00:00"/>
    <s v="attendee19@company.com"/>
    <x v="4"/>
    <n v="5"/>
    <n v="3"/>
    <n v="0.6"/>
    <s v="Requirement met"/>
  </r>
  <r>
    <s v="Attendee 2"/>
    <d v="2024-07-01T00:00:00"/>
    <s v="attendee2@company.com"/>
    <x v="2"/>
    <n v="5"/>
    <n v="3"/>
    <n v="0.6"/>
    <s v="Not met"/>
  </r>
  <r>
    <s v="Attendee 20"/>
    <d v="2024-07-01T00:00:00"/>
    <s v="attendee20@company.com"/>
    <x v="1"/>
    <n v="5"/>
    <n v="2"/>
    <n v="0.4"/>
    <s v="Requirement met"/>
  </r>
  <r>
    <s v="Attendee 21"/>
    <d v="2024-07-01T00:00:00"/>
    <s v="attendee21@company.com"/>
    <x v="0"/>
    <n v="5"/>
    <n v="3"/>
    <n v="0.6"/>
    <s v="Not met"/>
  </r>
  <r>
    <s v="Attendee 22"/>
    <d v="2024-07-01T00:00:00"/>
    <s v="attendee22@company.com"/>
    <x v="2"/>
    <n v="5"/>
    <n v="1"/>
    <n v="0.2"/>
    <s v="Not met"/>
  </r>
  <r>
    <s v="Attendee 23"/>
    <d v="2024-07-01T00:00:00"/>
    <s v="attendee23@company.com"/>
    <x v="3"/>
    <n v="5"/>
    <n v="3"/>
    <n v="0.6"/>
    <s v="Not met"/>
  </r>
  <r>
    <s v="Attendee 24"/>
    <d v="2024-07-01T00:00:00"/>
    <s v="attendee24@company.com"/>
    <x v="4"/>
    <n v="5"/>
    <n v="2"/>
    <n v="0.4"/>
    <s v="Requirement met"/>
  </r>
  <r>
    <s v="Attendee 25"/>
    <d v="2024-07-01T00:00:00"/>
    <s v="attendee25@company.com"/>
    <x v="1"/>
    <n v="5"/>
    <n v="2"/>
    <n v="0.4"/>
    <s v="Requirement met"/>
  </r>
  <r>
    <s v="Attendee 26"/>
    <d v="2024-07-01T00:00:00"/>
    <s v="attendee26@company.com"/>
    <x v="0"/>
    <n v="5"/>
    <n v="2"/>
    <n v="0.4"/>
    <s v="Not met"/>
  </r>
  <r>
    <s v="Attendee 27"/>
    <d v="2024-07-01T00:00:00"/>
    <s v="attendee27@company.com"/>
    <x v="2"/>
    <n v="5"/>
    <n v="4"/>
    <n v="0.8"/>
    <s v="Requirement met"/>
  </r>
  <r>
    <s v="Attendee 28"/>
    <d v="2024-07-01T00:00:00"/>
    <s v="attendee28@company.com"/>
    <x v="3"/>
    <n v="5"/>
    <n v="0"/>
    <n v="0"/>
    <s v="Not met"/>
  </r>
  <r>
    <s v="Attendee 29"/>
    <d v="2024-07-01T00:00:00"/>
    <s v="attendee29@company.com"/>
    <x v="4"/>
    <n v="5"/>
    <n v="3"/>
    <n v="0.6"/>
    <s v="Requirement met"/>
  </r>
  <r>
    <s v="Attendee 3"/>
    <d v="2024-07-01T00:00:00"/>
    <s v="attendee3@company.com"/>
    <x v="3"/>
    <n v="5"/>
    <n v="2"/>
    <n v="0.4"/>
    <s v="Not met"/>
  </r>
  <r>
    <s v="Attendee 30"/>
    <d v="2024-07-01T00:00:00"/>
    <s v="attendee30@company.com"/>
    <x v="1"/>
    <n v="5"/>
    <n v="4"/>
    <n v="0.8"/>
    <s v="Requirement met"/>
  </r>
  <r>
    <s v="Attendee 31"/>
    <d v="2024-07-01T00:00:00"/>
    <s v="attendee31@company.com"/>
    <x v="0"/>
    <n v="5"/>
    <n v="2"/>
    <n v="0.4"/>
    <s v="Not met"/>
  </r>
  <r>
    <s v="Attendee 32"/>
    <d v="2024-07-01T00:00:00"/>
    <s v="attendee32@company.com"/>
    <x v="2"/>
    <n v="5"/>
    <n v="2"/>
    <n v="0.4"/>
    <s v="Not met"/>
  </r>
  <r>
    <s v="Attendee 33"/>
    <d v="2024-07-01T00:00:00"/>
    <s v="attendee33@company.com"/>
    <x v="3"/>
    <n v="5"/>
    <n v="5"/>
    <n v="1"/>
    <s v="Requirement met"/>
  </r>
  <r>
    <s v="Attendee 34"/>
    <d v="2024-07-01T00:00:00"/>
    <s v="attendee34@company.com"/>
    <x v="4"/>
    <n v="5"/>
    <n v="2"/>
    <n v="0.4"/>
    <s v="Requirement met"/>
  </r>
  <r>
    <s v="Attendee 35"/>
    <d v="2024-07-01T00:00:00"/>
    <s v="attendee35@company.com"/>
    <x v="1"/>
    <n v="5"/>
    <n v="3"/>
    <n v="0.6"/>
    <s v="Requirement met"/>
  </r>
  <r>
    <s v="Attendee 36"/>
    <d v="2024-07-01T00:00:00"/>
    <s v="attendee36@company.com"/>
    <x v="0"/>
    <n v="5"/>
    <n v="3"/>
    <n v="0.6"/>
    <s v="Not met"/>
  </r>
  <r>
    <s v="Attendee 37"/>
    <d v="2024-07-01T00:00:00"/>
    <s v="attendee37@company.com"/>
    <x v="2"/>
    <n v="5"/>
    <n v="4"/>
    <n v="0.8"/>
    <s v="Requirement met"/>
  </r>
  <r>
    <s v="Attendee 38"/>
    <d v="2024-07-01T00:00:00"/>
    <s v="attendee38@company.com"/>
    <x v="3"/>
    <n v="5"/>
    <n v="3"/>
    <n v="0.6"/>
    <s v="Not met"/>
  </r>
  <r>
    <s v="Attendee 39"/>
    <d v="2024-07-01T00:00:00"/>
    <s v="attendee39@company.com"/>
    <x v="4"/>
    <n v="5"/>
    <n v="4"/>
    <n v="0.8"/>
    <s v="Requirement met"/>
  </r>
  <r>
    <s v="Attendee 4"/>
    <d v="2024-07-01T00:00:00"/>
    <s v="attendee4@company.com"/>
    <x v="4"/>
    <n v="5"/>
    <n v="2"/>
    <n v="0.4"/>
    <s v="Requirement met"/>
  </r>
  <r>
    <s v="Attendee 40"/>
    <d v="2024-07-01T00:00:00"/>
    <s v="attendee40@company.com"/>
    <x v="1"/>
    <n v="5"/>
    <n v="1"/>
    <n v="0.2"/>
    <s v="Not met"/>
  </r>
  <r>
    <s v="Attendee 41"/>
    <d v="2024-07-01T00:00:00"/>
    <s v="attendee41@company.com"/>
    <x v="0"/>
    <n v="5"/>
    <n v="4"/>
    <n v="0.8"/>
    <s v="Requirement met"/>
  </r>
  <r>
    <s v="Attendee 42"/>
    <d v="2024-07-01T00:00:00"/>
    <s v="attendee42@company.com"/>
    <x v="2"/>
    <n v="5"/>
    <n v="1"/>
    <n v="0.2"/>
    <s v="Not met"/>
  </r>
  <r>
    <s v="Attendee 43"/>
    <d v="2024-07-01T00:00:00"/>
    <s v="attendee43@company.com"/>
    <x v="3"/>
    <n v="5"/>
    <n v="2"/>
    <n v="0.4"/>
    <s v="Not met"/>
  </r>
  <r>
    <s v="Attendee 44"/>
    <d v="2024-07-01T00:00:00"/>
    <s v="attendee44@company.com"/>
    <x v="4"/>
    <n v="5"/>
    <n v="2"/>
    <n v="0.4"/>
    <s v="Requirement met"/>
  </r>
  <r>
    <s v="Attendee 45"/>
    <d v="2024-07-01T00:00:00"/>
    <s v="attendee45@company.com"/>
    <x v="1"/>
    <n v="5"/>
    <n v="3"/>
    <n v="0.6"/>
    <s v="Requirement met"/>
  </r>
  <r>
    <s v="Attendee 46"/>
    <d v="2024-07-01T00:00:00"/>
    <s v="attendee46@company.com"/>
    <x v="0"/>
    <n v="5"/>
    <n v="2"/>
    <n v="0.4"/>
    <s v="Not met"/>
  </r>
  <r>
    <s v="Attendee 47"/>
    <d v="2024-07-01T00:00:00"/>
    <s v="attendee47@company.com"/>
    <x v="2"/>
    <n v="5"/>
    <n v="4"/>
    <n v="0.8"/>
    <s v="Requirement met"/>
  </r>
  <r>
    <s v="Attendee 48"/>
    <d v="2024-07-01T00:00:00"/>
    <s v="attendee48@company.com"/>
    <x v="3"/>
    <n v="5"/>
    <n v="0"/>
    <n v="0"/>
    <s v="Not met"/>
  </r>
  <r>
    <s v="Attendee 49"/>
    <d v="2024-07-01T00:00:00"/>
    <s v="attendee49@company.com"/>
    <x v="4"/>
    <n v="5"/>
    <n v="2"/>
    <n v="0.4"/>
    <s v="Requirement met"/>
  </r>
  <r>
    <s v="Attendee 5"/>
    <d v="2024-07-01T00:00:00"/>
    <s v="attendee5@company.com"/>
    <x v="1"/>
    <n v="5"/>
    <n v="3"/>
    <n v="0.6"/>
    <s v="Requirement met"/>
  </r>
  <r>
    <s v="Attendee 50"/>
    <d v="2024-07-01T00:00:00"/>
    <s v="attendee50@company.com"/>
    <x v="1"/>
    <n v="5"/>
    <n v="1"/>
    <n v="0.2"/>
    <s v="Not met"/>
  </r>
  <r>
    <s v="Attendee 6"/>
    <d v="2024-07-01T00:00:00"/>
    <s v="attendee6@company.com"/>
    <x v="0"/>
    <n v="5"/>
    <n v="3"/>
    <n v="0.6"/>
    <s v="Not met"/>
  </r>
  <r>
    <s v="Attendee 7"/>
    <d v="2024-07-01T00:00:00"/>
    <s v="attendee7@company.com"/>
    <x v="2"/>
    <n v="5"/>
    <n v="4"/>
    <n v="0.8"/>
    <s v="Requirement met"/>
  </r>
  <r>
    <s v="Attendee 8"/>
    <d v="2024-07-01T00:00:00"/>
    <s v="attendee8@company.com"/>
    <x v="3"/>
    <n v="5"/>
    <n v="3"/>
    <n v="0.6"/>
    <s v="Not met"/>
  </r>
  <r>
    <s v="Attendee 9"/>
    <d v="2024-07-01T00:00:00"/>
    <s v="attendee9@company.com"/>
    <x v="4"/>
    <n v="5"/>
    <n v="4"/>
    <n v="0.8"/>
    <s v="Requirement m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7D911-8CAA-452F-8063-C0859677C2E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J1:K7" firstHeaderRow="1" firstDataRow="1" firstDataCol="1"/>
  <pivotFields count="8">
    <pivotField showAll="0"/>
    <pivotField numFmtId="16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dataField="1"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Attendance Percentage" fld="6" subtotal="average" baseField="3" baseItem="0" numFmtId="9"/>
  </dataFields>
  <formats count="16">
    <format dxfId="34">
      <pivotArea field="3" type="button" dataOnly="0" labelOnly="1" outline="0" axis="axisRow" fieldPosition="0"/>
    </format>
    <format dxfId="33">
      <pivotArea dataOnly="0" labelOnly="1" outline="0" axis="axisValues" fieldPosition="0"/>
    </format>
    <format dxfId="32">
      <pivotArea field="3" type="button" dataOnly="0" labelOnly="1" outline="0" axis="axisRow" fieldPosition="0"/>
    </format>
    <format dxfId="31">
      <pivotArea dataOnly="0" labelOnly="1" outline="0" axis="axisValues" fieldPosition="0"/>
    </format>
    <format dxfId="30">
      <pivotArea field="3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3" type="button" dataOnly="0" labelOnly="1" outline="0" axis="axisRow" fieldPosition="0"/>
    </format>
    <format dxfId="27">
      <pivotArea dataOnly="0" labelOnly="1" outline="0" axis="axisValues" fieldPosition="0"/>
    </format>
    <format dxfId="26">
      <pivotArea field="3" type="button" dataOnly="0" labelOnly="1" outline="0" axis="axisRow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F86C9-2A86-4397-93A2-EC1BC690D97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tes">
  <location ref="G3:H9" firstHeaderRow="1" firstDataRow="1" firstDataCol="1"/>
  <pivotFields count="5">
    <pivotField showAll="0"/>
    <pivotField axis="axisRow" numFmtId="15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ttendance" fld="3" baseField="1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C159A-445A-4EB1-8505-A02941EBFC02}" name="Table1" displayName="Table1" ref="A1:H52" totalsRowCount="1" headerRowDxfId="18" headerRowBorderDxfId="17" tableBorderDxfId="16">
  <autoFilter ref="A1:H51" xr:uid="{335C159A-445A-4EB1-8505-A02941EBFC02}"/>
  <sortState xmlns:xlrd2="http://schemas.microsoft.com/office/spreadsheetml/2017/richdata2" ref="A2:H51">
    <sortCondition ref="A1:A51"/>
  </sortState>
  <tableColumns count="8">
    <tableColumn id="1" xr3:uid="{55C77EFB-1304-4FF7-BE5D-573A3F801CEC}" name="Name" dataDxfId="15" totalsRowDxfId="14"/>
    <tableColumn id="2" xr3:uid="{DABEC824-7D0C-4D2C-A520-C61D4BF150EC}" name="Month" dataDxfId="13" totalsRowDxfId="12"/>
    <tableColumn id="3" xr3:uid="{7306EA3F-155C-486E-B796-8D0FE9DB45F3}" name="Contact">
      <calculatedColumnFormula>VLOOKUP($A2,[1]List1_ContactInfo!$A$2:$B$58,2,FALSE)</calculatedColumnFormula>
    </tableColumn>
    <tableColumn id="4" xr3:uid="{C66591B2-1161-409D-B697-370F1A10BDAA}" name="Group/ Department">
      <calculatedColumnFormula>VLOOKUP($A2,[1]List2_Department!$A$1:$B$51,2,FALSE)</calculatedColumnFormula>
    </tableColumn>
    <tableColumn id="5" xr3:uid="{864502A7-34F4-4E93-BD5A-222821037B33}" name="Total days present">
      <calculatedColumnFormula>DATE(2024,7,5)-DATE(2024,7,1)+1</calculatedColumnFormula>
    </tableColumn>
    <tableColumn id="6" xr3:uid="{F6E14599-4FF0-4652-944C-FEC0558548C7}" name="Actual days present" totalsRowFunction="custom">
      <calculatedColumnFormula>SUMIF(List3_Details!A2:A251,Table1[[#This Row],[Name]],List3_Details!D2:D251)</calculatedColumnFormula>
      <totalsRowFormula>COUNTIF($F$2:$F$51,1)</totalsRowFormula>
    </tableColumn>
    <tableColumn id="7" xr3:uid="{3AF357F8-A05B-42A4-8FE3-F6B79D90C2E8}" name="Attendance Percentage" dataDxfId="11" totalsRowDxfId="10" dataCellStyle="Percent">
      <calculatedColumnFormula>Table1[[#This Row],[Actual days present]]/Table1[[#This Row],[Total days present]]</calculatedColumnFormula>
    </tableColumn>
    <tableColumn id="8" xr3:uid="{02059A37-904B-490A-B0CD-DE22E859AE72}" name="Attendance requirement met">
      <calculatedColumnFormula>IF(OR(AND(OR(D2="Marketing",D2="Sales",D2="HR"), G2&gt;=80%),AND(OR(D2="IT",D2="Finance"), G2&gt;=40%)),"Requirement met","Not met")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816F-433A-423B-9E79-1987E92C732F}">
  <dimension ref="A1:K52"/>
  <sheetViews>
    <sheetView tabSelected="1" topLeftCell="E1" workbookViewId="0"/>
  </sheetViews>
  <sheetFormatPr defaultRowHeight="14.4" x14ac:dyDescent="0.3"/>
  <cols>
    <col min="1" max="8" width="25.77734375" customWidth="1"/>
    <col min="10" max="11" width="25.77734375" customWidth="1"/>
  </cols>
  <sheetData>
    <row r="1" spans="1:11" ht="34.950000000000003" customHeight="1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55</v>
      </c>
      <c r="G1" s="3" t="s">
        <v>56</v>
      </c>
      <c r="H1" s="3" t="s">
        <v>57</v>
      </c>
      <c r="J1" s="14" t="s">
        <v>72</v>
      </c>
      <c r="K1" s="15" t="s">
        <v>71</v>
      </c>
    </row>
    <row r="2" spans="1:11" x14ac:dyDescent="0.3">
      <c r="A2" s="1" t="s">
        <v>5</v>
      </c>
      <c r="B2" s="2">
        <v>45474</v>
      </c>
      <c r="C2" t="str">
        <f>VLOOKUP($A2,[1]List1_ContactInfo!$A$2:$B$58,2,FALSE)</f>
        <v>attendee1@company.com</v>
      </c>
      <c r="D2" t="str">
        <f>VLOOKUP($A2,[1]List2_Department!$A$1:$B$51,2,FALSE)</f>
        <v>Marketing</v>
      </c>
      <c r="E2">
        <f t="shared" ref="E2:E33" si="0">DATE(2024,7,5)-DATE(2024,7,1)+1</f>
        <v>5</v>
      </c>
      <c r="F2">
        <f>SUMIF(List3_Details!A2:A251,Table1[[#This Row],[Name]],List3_Details!D2:D251)</f>
        <v>2</v>
      </c>
      <c r="G2" s="4">
        <f>Table1[[#This Row],[Actual days present]]/Table1[[#This Row],[Total days present]]</f>
        <v>0.4</v>
      </c>
      <c r="H2" t="str">
        <f>IF(OR(AND(OR(D2="Marketing",D2="Sales",D2="HR"), G2&gt;=80%),AND(OR(D2="IT",D2="Finance"), G2&gt;=40%)),"Requirement met","Not met")</f>
        <v>Not met</v>
      </c>
      <c r="J2" s="16" t="s">
        <v>58</v>
      </c>
      <c r="K2" s="17">
        <v>0.48</v>
      </c>
    </row>
    <row r="3" spans="1:11" x14ac:dyDescent="0.3">
      <c r="A3" s="1" t="s">
        <v>14</v>
      </c>
      <c r="B3" s="2">
        <v>45474</v>
      </c>
      <c r="C3" t="str">
        <f>VLOOKUP($A3,[1]List1_ContactInfo!$A$2:$B$58,2,FALSE)</f>
        <v>attendee10@company.com</v>
      </c>
      <c r="D3" t="str">
        <f>VLOOKUP($A3,[1]List2_Department!$A$1:$B$51,2,FALSE)</f>
        <v>Finance</v>
      </c>
      <c r="E3">
        <f t="shared" si="0"/>
        <v>5</v>
      </c>
      <c r="F3">
        <f>SUMIF(List3_Details!A3:A252,Table1[[#This Row],[Name]],List3_Details!D3:D252)</f>
        <v>2</v>
      </c>
      <c r="G3" s="4">
        <f>Table1[[#This Row],[Actual days present]]/Table1[[#This Row],[Total days present]]</f>
        <v>0.4</v>
      </c>
      <c r="H3" t="str">
        <f t="shared" ref="H3:H51" si="1">IF(OR(AND(OR(D3="Marketing",D3="Sales",D3="HR"), G3&gt;=80%),AND(OR(D3="IT",D3="Finance"), G3&gt;=40%)),"Requirement met","Not met")</f>
        <v>Requirement met</v>
      </c>
      <c r="J3" s="16" t="s">
        <v>59</v>
      </c>
      <c r="K3" s="17">
        <v>0.48</v>
      </c>
    </row>
    <row r="4" spans="1:11" x14ac:dyDescent="0.3">
      <c r="A4" s="1" t="s">
        <v>15</v>
      </c>
      <c r="B4" s="2">
        <v>45474</v>
      </c>
      <c r="C4" t="str">
        <f>VLOOKUP($A4,[1]List1_ContactInfo!$A$2:$B$58,2,FALSE)</f>
        <v>attendee11@company.com</v>
      </c>
      <c r="D4" t="str">
        <f>VLOOKUP($A4,[1]List2_Department!$A$1:$B$51,2,FALSE)</f>
        <v>Marketing</v>
      </c>
      <c r="E4">
        <f t="shared" si="0"/>
        <v>5</v>
      </c>
      <c r="F4">
        <f>SUMIF(List3_Details!A4:A253,Table1[[#This Row],[Name]],List3_Details!D4:D253)</f>
        <v>3</v>
      </c>
      <c r="G4" s="4">
        <f>Table1[[#This Row],[Actual days present]]/Table1[[#This Row],[Total days present]]</f>
        <v>0.6</v>
      </c>
      <c r="H4" t="str">
        <f t="shared" si="1"/>
        <v>Not met</v>
      </c>
      <c r="J4" s="16" t="s">
        <v>60</v>
      </c>
      <c r="K4" s="17">
        <v>0.54</v>
      </c>
    </row>
    <row r="5" spans="1:11" x14ac:dyDescent="0.3">
      <c r="A5" s="1" t="s">
        <v>16</v>
      </c>
      <c r="B5" s="2">
        <v>45474</v>
      </c>
      <c r="C5" t="str">
        <f>VLOOKUP($A5,[1]List1_ContactInfo!$A$2:$B$58,2,FALSE)</f>
        <v>attendee12@company.com</v>
      </c>
      <c r="D5" t="str">
        <f>VLOOKUP($A5,[1]List2_Department!$A$1:$B$51,2,FALSE)</f>
        <v>Sales</v>
      </c>
      <c r="E5">
        <f t="shared" si="0"/>
        <v>5</v>
      </c>
      <c r="F5">
        <f>SUMIF(List3_Details!A5:A254,Table1[[#This Row],[Name]],List3_Details!D5:D254)</f>
        <v>0</v>
      </c>
      <c r="G5" s="4">
        <f>Table1[[#This Row],[Actual days present]]/Table1[[#This Row],[Total days present]]</f>
        <v>0</v>
      </c>
      <c r="H5" t="str">
        <f t="shared" si="1"/>
        <v>Not met</v>
      </c>
      <c r="J5" s="16" t="s">
        <v>61</v>
      </c>
      <c r="K5" s="17">
        <v>0.52</v>
      </c>
    </row>
    <row r="6" spans="1:11" x14ac:dyDescent="0.3">
      <c r="A6" s="1" t="s">
        <v>17</v>
      </c>
      <c r="B6" s="2">
        <v>45474</v>
      </c>
      <c r="C6" t="str">
        <f>VLOOKUP($A6,[1]List1_ContactInfo!$A$2:$B$58,2,FALSE)</f>
        <v>attendee13@company.com</v>
      </c>
      <c r="D6" t="str">
        <f>VLOOKUP($A6,[1]List2_Department!$A$1:$B$51,2,FALSE)</f>
        <v>HR</v>
      </c>
      <c r="E6">
        <f t="shared" si="0"/>
        <v>5</v>
      </c>
      <c r="F6">
        <f>SUMIF(List3_Details!A6:A255,Table1[[#This Row],[Name]],List3_Details!D6:D255)</f>
        <v>3</v>
      </c>
      <c r="G6" s="4">
        <f>Table1[[#This Row],[Actual days present]]/Table1[[#This Row],[Total days present]]</f>
        <v>0.6</v>
      </c>
      <c r="H6" t="str">
        <f t="shared" si="1"/>
        <v>Not met</v>
      </c>
      <c r="J6" s="16" t="s">
        <v>62</v>
      </c>
      <c r="K6" s="17">
        <v>0.52</v>
      </c>
    </row>
    <row r="7" spans="1:11" x14ac:dyDescent="0.3">
      <c r="A7" s="1" t="s">
        <v>18</v>
      </c>
      <c r="B7" s="2">
        <v>45474</v>
      </c>
      <c r="C7" t="str">
        <f>VLOOKUP($A7,[1]List1_ContactInfo!$A$2:$B$58,2,FALSE)</f>
        <v>attendee14@company.com</v>
      </c>
      <c r="D7" t="str">
        <f>VLOOKUP($A7,[1]List2_Department!$A$1:$B$51,2,FALSE)</f>
        <v>IT</v>
      </c>
      <c r="E7">
        <f t="shared" si="0"/>
        <v>5</v>
      </c>
      <c r="F7">
        <f>SUMIF(List3_Details!A7:A256,Table1[[#This Row],[Name]],List3_Details!D7:D256)</f>
        <v>3</v>
      </c>
      <c r="G7" s="4">
        <f>Table1[[#This Row],[Actual days present]]/Table1[[#This Row],[Total days present]]</f>
        <v>0.6</v>
      </c>
      <c r="H7" t="str">
        <f t="shared" si="1"/>
        <v>Requirement met</v>
      </c>
      <c r="J7" s="16" t="s">
        <v>63</v>
      </c>
      <c r="K7" s="17">
        <v>0.50800000000000012</v>
      </c>
    </row>
    <row r="8" spans="1:11" x14ac:dyDescent="0.3">
      <c r="A8" s="1" t="s">
        <v>19</v>
      </c>
      <c r="B8" s="2">
        <v>45474</v>
      </c>
      <c r="C8" t="str">
        <f>VLOOKUP($A8,[1]List1_ContactInfo!$A$2:$B$58,2,FALSE)</f>
        <v>attendee15@company.com</v>
      </c>
      <c r="D8" t="str">
        <f>VLOOKUP($A8,[1]List2_Department!$A$1:$B$51,2,FALSE)</f>
        <v>Finance</v>
      </c>
      <c r="E8">
        <f t="shared" si="0"/>
        <v>5</v>
      </c>
      <c r="F8">
        <f>SUMIF(List3_Details!A8:A257,Table1[[#This Row],[Name]],List3_Details!D8:D257)</f>
        <v>3</v>
      </c>
      <c r="G8" s="4">
        <f>Table1[[#This Row],[Actual days present]]/Table1[[#This Row],[Total days present]]</f>
        <v>0.6</v>
      </c>
      <c r="H8" t="str">
        <f t="shared" si="1"/>
        <v>Requirement met</v>
      </c>
    </row>
    <row r="9" spans="1:11" x14ac:dyDescent="0.3">
      <c r="A9" s="1" t="s">
        <v>20</v>
      </c>
      <c r="B9" s="2">
        <v>45474</v>
      </c>
      <c r="C9" t="str">
        <f>VLOOKUP($A9,[1]List1_ContactInfo!$A$2:$B$58,2,FALSE)</f>
        <v>attendee16@company.com</v>
      </c>
      <c r="D9" t="str">
        <f>VLOOKUP($A9,[1]List2_Department!$A$1:$B$51,2,FALSE)</f>
        <v>Marketing</v>
      </c>
      <c r="E9">
        <f t="shared" si="0"/>
        <v>5</v>
      </c>
      <c r="F9">
        <f>SUMIF(List3_Details!A9:A258,Table1[[#This Row],[Name]],List3_Details!D9:D258)</f>
        <v>2</v>
      </c>
      <c r="G9" s="4">
        <f>Table1[[#This Row],[Actual days present]]/Table1[[#This Row],[Total days present]]</f>
        <v>0.4</v>
      </c>
      <c r="H9" t="str">
        <f t="shared" si="1"/>
        <v>Not met</v>
      </c>
    </row>
    <row r="10" spans="1:11" x14ac:dyDescent="0.3">
      <c r="A10" s="1" t="s">
        <v>21</v>
      </c>
      <c r="B10" s="2">
        <v>45474</v>
      </c>
      <c r="C10" t="str">
        <f>VLOOKUP($A10,[1]List1_ContactInfo!$A$2:$B$58,2,FALSE)</f>
        <v>attendee17@company.com</v>
      </c>
      <c r="D10" t="str">
        <f>VLOOKUP($A10,[1]List2_Department!$A$1:$B$51,2,FALSE)</f>
        <v>Sales</v>
      </c>
      <c r="E10">
        <f t="shared" si="0"/>
        <v>5</v>
      </c>
      <c r="F10">
        <f>SUMIF(List3_Details!A10:A259,Table1[[#This Row],[Name]],List3_Details!D10:D259)</f>
        <v>3</v>
      </c>
      <c r="G10" s="4">
        <f>Table1[[#This Row],[Actual days present]]/Table1[[#This Row],[Total days present]]</f>
        <v>0.6</v>
      </c>
      <c r="H10" t="str">
        <f t="shared" si="1"/>
        <v>Not met</v>
      </c>
    </row>
    <row r="11" spans="1:11" x14ac:dyDescent="0.3">
      <c r="A11" s="1" t="s">
        <v>22</v>
      </c>
      <c r="B11" s="2">
        <v>45474</v>
      </c>
      <c r="C11" t="str">
        <f>VLOOKUP($A11,[1]List1_ContactInfo!$A$2:$B$58,2,FALSE)</f>
        <v>attendee18@company.com</v>
      </c>
      <c r="D11" t="str">
        <f>VLOOKUP($A11,[1]List2_Department!$A$1:$B$51,2,FALSE)</f>
        <v>HR</v>
      </c>
      <c r="E11">
        <f t="shared" si="0"/>
        <v>5</v>
      </c>
      <c r="F11">
        <f>SUMIF(List3_Details!A11:A260,Table1[[#This Row],[Name]],List3_Details!D11:D260)</f>
        <v>3</v>
      </c>
      <c r="G11" s="4">
        <f>Table1[[#This Row],[Actual days present]]/Table1[[#This Row],[Total days present]]</f>
        <v>0.6</v>
      </c>
      <c r="H11" t="str">
        <f t="shared" si="1"/>
        <v>Not met</v>
      </c>
    </row>
    <row r="12" spans="1:11" x14ac:dyDescent="0.3">
      <c r="A12" s="1" t="s">
        <v>23</v>
      </c>
      <c r="B12" s="2">
        <v>45474</v>
      </c>
      <c r="C12" t="str">
        <f>VLOOKUP($A12,[1]List1_ContactInfo!$A$2:$B$58,2,FALSE)</f>
        <v>attendee19@company.com</v>
      </c>
      <c r="D12" t="str">
        <f>VLOOKUP($A12,[1]List2_Department!$A$1:$B$51,2,FALSE)</f>
        <v>IT</v>
      </c>
      <c r="E12">
        <f t="shared" si="0"/>
        <v>5</v>
      </c>
      <c r="F12">
        <f>SUMIF(List3_Details!A12:A261,Table1[[#This Row],[Name]],List3_Details!D12:D261)</f>
        <v>3</v>
      </c>
      <c r="G12" s="4">
        <f>Table1[[#This Row],[Actual days present]]/Table1[[#This Row],[Total days present]]</f>
        <v>0.6</v>
      </c>
      <c r="H12" t="str">
        <f t="shared" si="1"/>
        <v>Requirement met</v>
      </c>
    </row>
    <row r="13" spans="1:11" x14ac:dyDescent="0.3">
      <c r="A13" s="1" t="s">
        <v>6</v>
      </c>
      <c r="B13" s="2">
        <v>45474</v>
      </c>
      <c r="C13" t="str">
        <f>VLOOKUP($A13,[1]List1_ContactInfo!$A$2:$B$58,2,FALSE)</f>
        <v>attendee2@company.com</v>
      </c>
      <c r="D13" t="str">
        <f>VLOOKUP($A13,[1]List2_Department!$A$1:$B$51,2,FALSE)</f>
        <v>Sales</v>
      </c>
      <c r="E13">
        <f t="shared" si="0"/>
        <v>5</v>
      </c>
      <c r="F13">
        <f>SUMIF(List3_Details!A13:A262,Table1[[#This Row],[Name]],List3_Details!D13:D262)</f>
        <v>3</v>
      </c>
      <c r="G13" s="4">
        <f>Table1[[#This Row],[Actual days present]]/Table1[[#This Row],[Total days present]]</f>
        <v>0.6</v>
      </c>
      <c r="H13" t="str">
        <f t="shared" si="1"/>
        <v>Not met</v>
      </c>
    </row>
    <row r="14" spans="1:11" x14ac:dyDescent="0.3">
      <c r="A14" s="1" t="s">
        <v>24</v>
      </c>
      <c r="B14" s="2">
        <v>45474</v>
      </c>
      <c r="C14" t="str">
        <f>VLOOKUP($A14,[1]List1_ContactInfo!$A$2:$B$58,2,FALSE)</f>
        <v>attendee20@company.com</v>
      </c>
      <c r="D14" t="str">
        <f>VLOOKUP($A14,[1]List2_Department!$A$1:$B$51,2,FALSE)</f>
        <v>Finance</v>
      </c>
      <c r="E14">
        <f t="shared" si="0"/>
        <v>5</v>
      </c>
      <c r="F14">
        <f>SUMIF(List3_Details!A14:A263,Table1[[#This Row],[Name]],List3_Details!D14:D263)</f>
        <v>2</v>
      </c>
      <c r="G14" s="4">
        <f>Table1[[#This Row],[Actual days present]]/Table1[[#This Row],[Total days present]]</f>
        <v>0.4</v>
      </c>
      <c r="H14" t="str">
        <f t="shared" si="1"/>
        <v>Requirement met</v>
      </c>
    </row>
    <row r="15" spans="1:11" x14ac:dyDescent="0.3">
      <c r="A15" s="1" t="s">
        <v>25</v>
      </c>
      <c r="B15" s="2">
        <v>45474</v>
      </c>
      <c r="C15" t="str">
        <f>VLOOKUP($A15,[1]List1_ContactInfo!$A$2:$B$58,2,FALSE)</f>
        <v>attendee21@company.com</v>
      </c>
      <c r="D15" t="str">
        <f>VLOOKUP($A15,[1]List2_Department!$A$1:$B$51,2,FALSE)</f>
        <v>Marketing</v>
      </c>
      <c r="E15">
        <f t="shared" si="0"/>
        <v>5</v>
      </c>
      <c r="F15">
        <f>SUMIF(List3_Details!A15:A264,Table1[[#This Row],[Name]],List3_Details!D15:D264)</f>
        <v>3</v>
      </c>
      <c r="G15" s="4">
        <f>Table1[[#This Row],[Actual days present]]/Table1[[#This Row],[Total days present]]</f>
        <v>0.6</v>
      </c>
      <c r="H15" t="str">
        <f t="shared" si="1"/>
        <v>Not met</v>
      </c>
    </row>
    <row r="16" spans="1:11" x14ac:dyDescent="0.3">
      <c r="A16" s="1" t="s">
        <v>26</v>
      </c>
      <c r="B16" s="2">
        <v>45474</v>
      </c>
      <c r="C16" t="str">
        <f>VLOOKUP($A16,[1]List1_ContactInfo!$A$2:$B$58,2,FALSE)</f>
        <v>attendee22@company.com</v>
      </c>
      <c r="D16" t="str">
        <f>VLOOKUP($A16,[1]List2_Department!$A$1:$B$51,2,FALSE)</f>
        <v>Sales</v>
      </c>
      <c r="E16">
        <f t="shared" si="0"/>
        <v>5</v>
      </c>
      <c r="F16">
        <f>SUMIF(List3_Details!A16:A265,Table1[[#This Row],[Name]],List3_Details!D16:D265)</f>
        <v>1</v>
      </c>
      <c r="G16" s="4">
        <f>Table1[[#This Row],[Actual days present]]/Table1[[#This Row],[Total days present]]</f>
        <v>0.2</v>
      </c>
      <c r="H16" t="str">
        <f t="shared" si="1"/>
        <v>Not met</v>
      </c>
    </row>
    <row r="17" spans="1:8" x14ac:dyDescent="0.3">
      <c r="A17" s="1" t="s">
        <v>27</v>
      </c>
      <c r="B17" s="2">
        <v>45474</v>
      </c>
      <c r="C17" t="str">
        <f>VLOOKUP($A17,[1]List1_ContactInfo!$A$2:$B$58,2,FALSE)</f>
        <v>attendee23@company.com</v>
      </c>
      <c r="D17" t="str">
        <f>VLOOKUP($A17,[1]List2_Department!$A$1:$B$51,2,FALSE)</f>
        <v>HR</v>
      </c>
      <c r="E17">
        <f t="shared" si="0"/>
        <v>5</v>
      </c>
      <c r="F17">
        <f>SUMIF(List3_Details!A17:A266,Table1[[#This Row],[Name]],List3_Details!D17:D266)</f>
        <v>3</v>
      </c>
      <c r="G17" s="4">
        <f>Table1[[#This Row],[Actual days present]]/Table1[[#This Row],[Total days present]]</f>
        <v>0.6</v>
      </c>
      <c r="H17" t="str">
        <f t="shared" si="1"/>
        <v>Not met</v>
      </c>
    </row>
    <row r="18" spans="1:8" x14ac:dyDescent="0.3">
      <c r="A18" s="1" t="s">
        <v>28</v>
      </c>
      <c r="B18" s="2">
        <v>45474</v>
      </c>
      <c r="C18" t="str">
        <f>VLOOKUP($A18,[1]List1_ContactInfo!$A$2:$B$58,2,FALSE)</f>
        <v>attendee24@company.com</v>
      </c>
      <c r="D18" t="str">
        <f>VLOOKUP($A18,[1]List2_Department!$A$1:$B$51,2,FALSE)</f>
        <v>IT</v>
      </c>
      <c r="E18">
        <f t="shared" si="0"/>
        <v>5</v>
      </c>
      <c r="F18">
        <f>SUMIF(List3_Details!A18:A267,Table1[[#This Row],[Name]],List3_Details!D18:D267)</f>
        <v>2</v>
      </c>
      <c r="G18" s="4">
        <f>Table1[[#This Row],[Actual days present]]/Table1[[#This Row],[Total days present]]</f>
        <v>0.4</v>
      </c>
      <c r="H18" t="str">
        <f t="shared" si="1"/>
        <v>Requirement met</v>
      </c>
    </row>
    <row r="19" spans="1:8" x14ac:dyDescent="0.3">
      <c r="A19" s="1" t="s">
        <v>29</v>
      </c>
      <c r="B19" s="2">
        <v>45474</v>
      </c>
      <c r="C19" t="str">
        <f>VLOOKUP($A19,[1]List1_ContactInfo!$A$2:$B$58,2,FALSE)</f>
        <v>attendee25@company.com</v>
      </c>
      <c r="D19" t="str">
        <f>VLOOKUP($A19,[1]List2_Department!$A$1:$B$51,2,FALSE)</f>
        <v>Finance</v>
      </c>
      <c r="E19">
        <f t="shared" si="0"/>
        <v>5</v>
      </c>
      <c r="F19">
        <f>SUMIF(List3_Details!A19:A268,Table1[[#This Row],[Name]],List3_Details!D19:D268)</f>
        <v>2</v>
      </c>
      <c r="G19" s="4">
        <f>Table1[[#This Row],[Actual days present]]/Table1[[#This Row],[Total days present]]</f>
        <v>0.4</v>
      </c>
      <c r="H19" t="str">
        <f t="shared" si="1"/>
        <v>Requirement met</v>
      </c>
    </row>
    <row r="20" spans="1:8" x14ac:dyDescent="0.3">
      <c r="A20" s="1" t="s">
        <v>30</v>
      </c>
      <c r="B20" s="2">
        <v>45474</v>
      </c>
      <c r="C20" t="str">
        <f>VLOOKUP($A20,[1]List1_ContactInfo!$A$2:$B$58,2,FALSE)</f>
        <v>attendee26@company.com</v>
      </c>
      <c r="D20" t="str">
        <f>VLOOKUP($A20,[1]List2_Department!$A$1:$B$51,2,FALSE)</f>
        <v>Marketing</v>
      </c>
      <c r="E20">
        <f t="shared" si="0"/>
        <v>5</v>
      </c>
      <c r="F20">
        <f>SUMIF(List3_Details!A20:A269,Table1[[#This Row],[Name]],List3_Details!D20:D269)</f>
        <v>2</v>
      </c>
      <c r="G20" s="4">
        <f>Table1[[#This Row],[Actual days present]]/Table1[[#This Row],[Total days present]]</f>
        <v>0.4</v>
      </c>
      <c r="H20" t="str">
        <f t="shared" si="1"/>
        <v>Not met</v>
      </c>
    </row>
    <row r="21" spans="1:8" x14ac:dyDescent="0.3">
      <c r="A21" s="1" t="s">
        <v>31</v>
      </c>
      <c r="B21" s="2">
        <v>45474</v>
      </c>
      <c r="C21" t="str">
        <f>VLOOKUP($A21,[1]List1_ContactInfo!$A$2:$B$58,2,FALSE)</f>
        <v>attendee27@company.com</v>
      </c>
      <c r="D21" t="str">
        <f>VLOOKUP($A21,[1]List2_Department!$A$1:$B$51,2,FALSE)</f>
        <v>Sales</v>
      </c>
      <c r="E21">
        <f t="shared" si="0"/>
        <v>5</v>
      </c>
      <c r="F21">
        <f>SUMIF(List3_Details!A21:A270,Table1[[#This Row],[Name]],List3_Details!D21:D270)</f>
        <v>4</v>
      </c>
      <c r="G21" s="4">
        <f>Table1[[#This Row],[Actual days present]]/Table1[[#This Row],[Total days present]]</f>
        <v>0.8</v>
      </c>
      <c r="H21" t="str">
        <f t="shared" si="1"/>
        <v>Requirement met</v>
      </c>
    </row>
    <row r="22" spans="1:8" x14ac:dyDescent="0.3">
      <c r="A22" s="1" t="s">
        <v>32</v>
      </c>
      <c r="B22" s="2">
        <v>45474</v>
      </c>
      <c r="C22" t="str">
        <f>VLOOKUP($A22,[1]List1_ContactInfo!$A$2:$B$58,2,FALSE)</f>
        <v>attendee28@company.com</v>
      </c>
      <c r="D22" t="str">
        <f>VLOOKUP($A22,[1]List2_Department!$A$1:$B$51,2,FALSE)</f>
        <v>HR</v>
      </c>
      <c r="E22">
        <f t="shared" si="0"/>
        <v>5</v>
      </c>
      <c r="F22">
        <f>SUMIF(List3_Details!A22:A271,Table1[[#This Row],[Name]],List3_Details!D22:D271)</f>
        <v>0</v>
      </c>
      <c r="G22" s="4">
        <f>Table1[[#This Row],[Actual days present]]/Table1[[#This Row],[Total days present]]</f>
        <v>0</v>
      </c>
      <c r="H22" t="str">
        <f t="shared" si="1"/>
        <v>Not met</v>
      </c>
    </row>
    <row r="23" spans="1:8" x14ac:dyDescent="0.3">
      <c r="A23" s="1" t="s">
        <v>33</v>
      </c>
      <c r="B23" s="2">
        <v>45474</v>
      </c>
      <c r="C23" t="str">
        <f>VLOOKUP($A23,[1]List1_ContactInfo!$A$2:$B$58,2,FALSE)</f>
        <v>attendee29@company.com</v>
      </c>
      <c r="D23" t="str">
        <f>VLOOKUP($A23,[1]List2_Department!$A$1:$B$51,2,FALSE)</f>
        <v>IT</v>
      </c>
      <c r="E23">
        <f t="shared" si="0"/>
        <v>5</v>
      </c>
      <c r="F23">
        <f>SUMIF(List3_Details!A23:A272,Table1[[#This Row],[Name]],List3_Details!D23:D272)</f>
        <v>3</v>
      </c>
      <c r="G23" s="4">
        <f>Table1[[#This Row],[Actual days present]]/Table1[[#This Row],[Total days present]]</f>
        <v>0.6</v>
      </c>
      <c r="H23" t="str">
        <f t="shared" si="1"/>
        <v>Requirement met</v>
      </c>
    </row>
    <row r="24" spans="1:8" x14ac:dyDescent="0.3">
      <c r="A24" s="1" t="s">
        <v>7</v>
      </c>
      <c r="B24" s="2">
        <v>45474</v>
      </c>
      <c r="C24" t="str">
        <f>VLOOKUP($A24,[1]List1_ContactInfo!$A$2:$B$58,2,FALSE)</f>
        <v>attendee3@company.com</v>
      </c>
      <c r="D24" t="str">
        <f>VLOOKUP($A24,[1]List2_Department!$A$1:$B$51,2,FALSE)</f>
        <v>HR</v>
      </c>
      <c r="E24">
        <f t="shared" si="0"/>
        <v>5</v>
      </c>
      <c r="F24">
        <f>SUMIF(List3_Details!A24:A273,Table1[[#This Row],[Name]],List3_Details!D24:D273)</f>
        <v>2</v>
      </c>
      <c r="G24" s="4">
        <f>Table1[[#This Row],[Actual days present]]/Table1[[#This Row],[Total days present]]</f>
        <v>0.4</v>
      </c>
      <c r="H24" t="str">
        <f t="shared" si="1"/>
        <v>Not met</v>
      </c>
    </row>
    <row r="25" spans="1:8" x14ac:dyDescent="0.3">
      <c r="A25" s="1" t="s">
        <v>34</v>
      </c>
      <c r="B25" s="2">
        <v>45474</v>
      </c>
      <c r="C25" t="str">
        <f>VLOOKUP($A25,[1]List1_ContactInfo!$A$2:$B$58,2,FALSE)</f>
        <v>attendee30@company.com</v>
      </c>
      <c r="D25" t="str">
        <f>VLOOKUP($A25,[1]List2_Department!$A$1:$B$51,2,FALSE)</f>
        <v>Finance</v>
      </c>
      <c r="E25">
        <f t="shared" si="0"/>
        <v>5</v>
      </c>
      <c r="F25">
        <f>SUMIF(List3_Details!A25:A274,Table1[[#This Row],[Name]],List3_Details!D25:D274)</f>
        <v>4</v>
      </c>
      <c r="G25" s="4">
        <f>Table1[[#This Row],[Actual days present]]/Table1[[#This Row],[Total days present]]</f>
        <v>0.8</v>
      </c>
      <c r="H25" t="str">
        <f t="shared" si="1"/>
        <v>Requirement met</v>
      </c>
    </row>
    <row r="26" spans="1:8" x14ac:dyDescent="0.3">
      <c r="A26" s="1" t="s">
        <v>35</v>
      </c>
      <c r="B26" s="2">
        <v>45474</v>
      </c>
      <c r="C26" t="str">
        <f>VLOOKUP($A26,[1]List1_ContactInfo!$A$2:$B$58,2,FALSE)</f>
        <v>attendee31@company.com</v>
      </c>
      <c r="D26" t="str">
        <f>VLOOKUP($A26,[1]List2_Department!$A$1:$B$51,2,FALSE)</f>
        <v>Marketing</v>
      </c>
      <c r="E26">
        <f t="shared" si="0"/>
        <v>5</v>
      </c>
      <c r="F26">
        <f>SUMIF(List3_Details!A26:A275,Table1[[#This Row],[Name]],List3_Details!D26:D275)</f>
        <v>2</v>
      </c>
      <c r="G26" s="4">
        <f>Table1[[#This Row],[Actual days present]]/Table1[[#This Row],[Total days present]]</f>
        <v>0.4</v>
      </c>
      <c r="H26" t="str">
        <f t="shared" si="1"/>
        <v>Not met</v>
      </c>
    </row>
    <row r="27" spans="1:8" x14ac:dyDescent="0.3">
      <c r="A27" s="1" t="s">
        <v>36</v>
      </c>
      <c r="B27" s="2">
        <v>45474</v>
      </c>
      <c r="C27" t="str">
        <f>VLOOKUP($A27,[1]List1_ContactInfo!$A$2:$B$58,2,FALSE)</f>
        <v>attendee32@company.com</v>
      </c>
      <c r="D27" t="str">
        <f>VLOOKUP($A27,[1]List2_Department!$A$1:$B$51,2,FALSE)</f>
        <v>Sales</v>
      </c>
      <c r="E27">
        <f t="shared" si="0"/>
        <v>5</v>
      </c>
      <c r="F27">
        <f>SUMIF(List3_Details!A27:A276,Table1[[#This Row],[Name]],List3_Details!D27:D276)</f>
        <v>2</v>
      </c>
      <c r="G27" s="4">
        <f>Table1[[#This Row],[Actual days present]]/Table1[[#This Row],[Total days present]]</f>
        <v>0.4</v>
      </c>
      <c r="H27" t="str">
        <f t="shared" si="1"/>
        <v>Not met</v>
      </c>
    </row>
    <row r="28" spans="1:8" x14ac:dyDescent="0.3">
      <c r="A28" s="1" t="s">
        <v>37</v>
      </c>
      <c r="B28" s="2">
        <v>45474</v>
      </c>
      <c r="C28" t="str">
        <f>VLOOKUP($A28,[1]List1_ContactInfo!$A$2:$B$58,2,FALSE)</f>
        <v>attendee33@company.com</v>
      </c>
      <c r="D28" t="str">
        <f>VLOOKUP($A28,[1]List2_Department!$A$1:$B$51,2,FALSE)</f>
        <v>HR</v>
      </c>
      <c r="E28">
        <f t="shared" si="0"/>
        <v>5</v>
      </c>
      <c r="F28">
        <f>SUMIF(List3_Details!A28:A277,Table1[[#This Row],[Name]],List3_Details!D28:D277)</f>
        <v>5</v>
      </c>
      <c r="G28" s="4">
        <f>Table1[[#This Row],[Actual days present]]/Table1[[#This Row],[Total days present]]</f>
        <v>1</v>
      </c>
      <c r="H28" t="str">
        <f t="shared" si="1"/>
        <v>Requirement met</v>
      </c>
    </row>
    <row r="29" spans="1:8" x14ac:dyDescent="0.3">
      <c r="A29" s="1" t="s">
        <v>38</v>
      </c>
      <c r="B29" s="2">
        <v>45474</v>
      </c>
      <c r="C29" t="str">
        <f>VLOOKUP($A29,[1]List1_ContactInfo!$A$2:$B$58,2,FALSE)</f>
        <v>attendee34@company.com</v>
      </c>
      <c r="D29" t="str">
        <f>VLOOKUP($A29,[1]List2_Department!$A$1:$B$51,2,FALSE)</f>
        <v>IT</v>
      </c>
      <c r="E29">
        <f t="shared" si="0"/>
        <v>5</v>
      </c>
      <c r="F29">
        <f>SUMIF(List3_Details!A29:A278,Table1[[#This Row],[Name]],List3_Details!D29:D278)</f>
        <v>2</v>
      </c>
      <c r="G29" s="4">
        <f>Table1[[#This Row],[Actual days present]]/Table1[[#This Row],[Total days present]]</f>
        <v>0.4</v>
      </c>
      <c r="H29" t="str">
        <f t="shared" si="1"/>
        <v>Requirement met</v>
      </c>
    </row>
    <row r="30" spans="1:8" x14ac:dyDescent="0.3">
      <c r="A30" s="1" t="s">
        <v>39</v>
      </c>
      <c r="B30" s="2">
        <v>45474</v>
      </c>
      <c r="C30" t="str">
        <f>VLOOKUP($A30,[1]List1_ContactInfo!$A$2:$B$58,2,FALSE)</f>
        <v>attendee35@company.com</v>
      </c>
      <c r="D30" t="str">
        <f>VLOOKUP($A30,[1]List2_Department!$A$1:$B$51,2,FALSE)</f>
        <v>Finance</v>
      </c>
      <c r="E30">
        <f t="shared" si="0"/>
        <v>5</v>
      </c>
      <c r="F30">
        <f>SUMIF(List3_Details!A30:A279,Table1[[#This Row],[Name]],List3_Details!D30:D279)</f>
        <v>3</v>
      </c>
      <c r="G30" s="4">
        <f>Table1[[#This Row],[Actual days present]]/Table1[[#This Row],[Total days present]]</f>
        <v>0.6</v>
      </c>
      <c r="H30" t="str">
        <f t="shared" si="1"/>
        <v>Requirement met</v>
      </c>
    </row>
    <row r="31" spans="1:8" x14ac:dyDescent="0.3">
      <c r="A31" s="1" t="s">
        <v>40</v>
      </c>
      <c r="B31" s="2">
        <v>45474</v>
      </c>
      <c r="C31" t="str">
        <f>VLOOKUP($A31,[1]List1_ContactInfo!$A$2:$B$58,2,FALSE)</f>
        <v>attendee36@company.com</v>
      </c>
      <c r="D31" t="str">
        <f>VLOOKUP($A31,[1]List2_Department!$A$1:$B$51,2,FALSE)</f>
        <v>Marketing</v>
      </c>
      <c r="E31">
        <f t="shared" si="0"/>
        <v>5</v>
      </c>
      <c r="F31">
        <f>SUMIF(List3_Details!A31:A280,Table1[[#This Row],[Name]],List3_Details!D31:D280)</f>
        <v>3</v>
      </c>
      <c r="G31" s="4">
        <f>Table1[[#This Row],[Actual days present]]/Table1[[#This Row],[Total days present]]</f>
        <v>0.6</v>
      </c>
      <c r="H31" t="str">
        <f t="shared" si="1"/>
        <v>Not met</v>
      </c>
    </row>
    <row r="32" spans="1:8" x14ac:dyDescent="0.3">
      <c r="A32" s="1" t="s">
        <v>41</v>
      </c>
      <c r="B32" s="2">
        <v>45474</v>
      </c>
      <c r="C32" t="str">
        <f>VLOOKUP($A32,[1]List1_ContactInfo!$A$2:$B$58,2,FALSE)</f>
        <v>attendee37@company.com</v>
      </c>
      <c r="D32" t="str">
        <f>VLOOKUP($A32,[1]List2_Department!$A$1:$B$51,2,FALSE)</f>
        <v>Sales</v>
      </c>
      <c r="E32">
        <f t="shared" si="0"/>
        <v>5</v>
      </c>
      <c r="F32">
        <f>SUMIF(List3_Details!A32:A281,Table1[[#This Row],[Name]],List3_Details!D32:D281)</f>
        <v>4</v>
      </c>
      <c r="G32" s="4">
        <f>Table1[[#This Row],[Actual days present]]/Table1[[#This Row],[Total days present]]</f>
        <v>0.8</v>
      </c>
      <c r="H32" t="str">
        <f t="shared" si="1"/>
        <v>Requirement met</v>
      </c>
    </row>
    <row r="33" spans="1:8" x14ac:dyDescent="0.3">
      <c r="A33" s="1" t="s">
        <v>42</v>
      </c>
      <c r="B33" s="2">
        <v>45474</v>
      </c>
      <c r="C33" t="str">
        <f>VLOOKUP($A33,[1]List1_ContactInfo!$A$2:$B$58,2,FALSE)</f>
        <v>attendee38@company.com</v>
      </c>
      <c r="D33" t="str">
        <f>VLOOKUP($A33,[1]List2_Department!$A$1:$B$51,2,FALSE)</f>
        <v>HR</v>
      </c>
      <c r="E33">
        <f t="shared" si="0"/>
        <v>5</v>
      </c>
      <c r="F33">
        <f>SUMIF(List3_Details!A33:A282,Table1[[#This Row],[Name]],List3_Details!D33:D282)</f>
        <v>3</v>
      </c>
      <c r="G33" s="4">
        <f>Table1[[#This Row],[Actual days present]]/Table1[[#This Row],[Total days present]]</f>
        <v>0.6</v>
      </c>
      <c r="H33" t="str">
        <f t="shared" si="1"/>
        <v>Not met</v>
      </c>
    </row>
    <row r="34" spans="1:8" x14ac:dyDescent="0.3">
      <c r="A34" s="1" t="s">
        <v>43</v>
      </c>
      <c r="B34" s="2">
        <v>45474</v>
      </c>
      <c r="C34" t="str">
        <f>VLOOKUP($A34,[1]List1_ContactInfo!$A$2:$B$58,2,FALSE)</f>
        <v>attendee39@company.com</v>
      </c>
      <c r="D34" t="str">
        <f>VLOOKUP($A34,[1]List2_Department!$A$1:$B$51,2,FALSE)</f>
        <v>IT</v>
      </c>
      <c r="E34">
        <f t="shared" ref="E34:E51" si="2">DATE(2024,7,5)-DATE(2024,7,1)+1</f>
        <v>5</v>
      </c>
      <c r="F34">
        <f>SUMIF(List3_Details!A34:A283,Table1[[#This Row],[Name]],List3_Details!D34:D283)</f>
        <v>4</v>
      </c>
      <c r="G34" s="4">
        <f>Table1[[#This Row],[Actual days present]]/Table1[[#This Row],[Total days present]]</f>
        <v>0.8</v>
      </c>
      <c r="H34" t="str">
        <f t="shared" si="1"/>
        <v>Requirement met</v>
      </c>
    </row>
    <row r="35" spans="1:8" x14ac:dyDescent="0.3">
      <c r="A35" s="1" t="s">
        <v>8</v>
      </c>
      <c r="B35" s="2">
        <v>45474</v>
      </c>
      <c r="C35" t="str">
        <f>VLOOKUP($A35,[1]List1_ContactInfo!$A$2:$B$58,2,FALSE)</f>
        <v>attendee4@company.com</v>
      </c>
      <c r="D35" t="str">
        <f>VLOOKUP($A35,[1]List2_Department!$A$1:$B$51,2,FALSE)</f>
        <v>IT</v>
      </c>
      <c r="E35">
        <f t="shared" si="2"/>
        <v>5</v>
      </c>
      <c r="F35">
        <f>SUMIF(List3_Details!A35:A284,Table1[[#This Row],[Name]],List3_Details!D35:D284)</f>
        <v>2</v>
      </c>
      <c r="G35" s="4">
        <f>Table1[[#This Row],[Actual days present]]/Table1[[#This Row],[Total days present]]</f>
        <v>0.4</v>
      </c>
      <c r="H35" t="str">
        <f t="shared" si="1"/>
        <v>Requirement met</v>
      </c>
    </row>
    <row r="36" spans="1:8" x14ac:dyDescent="0.3">
      <c r="A36" s="1" t="s">
        <v>44</v>
      </c>
      <c r="B36" s="2">
        <v>45474</v>
      </c>
      <c r="C36" t="str">
        <f>VLOOKUP($A36,[1]List1_ContactInfo!$A$2:$B$58,2,FALSE)</f>
        <v>attendee40@company.com</v>
      </c>
      <c r="D36" t="str">
        <f>VLOOKUP($A36,[1]List2_Department!$A$1:$B$51,2,FALSE)</f>
        <v>Finance</v>
      </c>
      <c r="E36">
        <f t="shared" si="2"/>
        <v>5</v>
      </c>
      <c r="F36">
        <f>SUMIF(List3_Details!A36:A285,Table1[[#This Row],[Name]],List3_Details!D36:D285)</f>
        <v>1</v>
      </c>
      <c r="G36" s="4">
        <f>Table1[[#This Row],[Actual days present]]/Table1[[#This Row],[Total days present]]</f>
        <v>0.2</v>
      </c>
      <c r="H36" t="str">
        <f t="shared" si="1"/>
        <v>Not met</v>
      </c>
    </row>
    <row r="37" spans="1:8" x14ac:dyDescent="0.3">
      <c r="A37" s="1" t="s">
        <v>45</v>
      </c>
      <c r="B37" s="2">
        <v>45474</v>
      </c>
      <c r="C37" t="str">
        <f>VLOOKUP($A37,[1]List1_ContactInfo!$A$2:$B$58,2,FALSE)</f>
        <v>attendee41@company.com</v>
      </c>
      <c r="D37" t="str">
        <f>VLOOKUP($A37,[1]List2_Department!$A$1:$B$51,2,FALSE)</f>
        <v>Marketing</v>
      </c>
      <c r="E37">
        <f t="shared" si="2"/>
        <v>5</v>
      </c>
      <c r="F37">
        <f>SUMIF(List3_Details!A37:A286,Table1[[#This Row],[Name]],List3_Details!D37:D286)</f>
        <v>4</v>
      </c>
      <c r="G37" s="4">
        <f>Table1[[#This Row],[Actual days present]]/Table1[[#This Row],[Total days present]]</f>
        <v>0.8</v>
      </c>
      <c r="H37" t="str">
        <f t="shared" si="1"/>
        <v>Requirement met</v>
      </c>
    </row>
    <row r="38" spans="1:8" x14ac:dyDescent="0.3">
      <c r="A38" s="1" t="s">
        <v>46</v>
      </c>
      <c r="B38" s="2">
        <v>45474</v>
      </c>
      <c r="C38" t="str">
        <f>VLOOKUP($A38,[1]List1_ContactInfo!$A$2:$B$58,2,FALSE)</f>
        <v>attendee42@company.com</v>
      </c>
      <c r="D38" t="str">
        <f>VLOOKUP($A38,[1]List2_Department!$A$1:$B$51,2,FALSE)</f>
        <v>Sales</v>
      </c>
      <c r="E38">
        <f t="shared" si="2"/>
        <v>5</v>
      </c>
      <c r="F38">
        <f>SUMIF(List3_Details!A38:A287,Table1[[#This Row],[Name]],List3_Details!D38:D287)</f>
        <v>1</v>
      </c>
      <c r="G38" s="4">
        <f>Table1[[#This Row],[Actual days present]]/Table1[[#This Row],[Total days present]]</f>
        <v>0.2</v>
      </c>
      <c r="H38" t="str">
        <f t="shared" si="1"/>
        <v>Not met</v>
      </c>
    </row>
    <row r="39" spans="1:8" x14ac:dyDescent="0.3">
      <c r="A39" s="1" t="s">
        <v>47</v>
      </c>
      <c r="B39" s="2">
        <v>45474</v>
      </c>
      <c r="C39" t="str">
        <f>VLOOKUP($A39,[1]List1_ContactInfo!$A$2:$B$58,2,FALSE)</f>
        <v>attendee43@company.com</v>
      </c>
      <c r="D39" t="str">
        <f>VLOOKUP($A39,[1]List2_Department!$A$1:$B$51,2,FALSE)</f>
        <v>HR</v>
      </c>
      <c r="E39">
        <f t="shared" si="2"/>
        <v>5</v>
      </c>
      <c r="F39">
        <f>SUMIF(List3_Details!A39:A288,Table1[[#This Row],[Name]],List3_Details!D39:D288)</f>
        <v>2</v>
      </c>
      <c r="G39" s="4">
        <f>Table1[[#This Row],[Actual days present]]/Table1[[#This Row],[Total days present]]</f>
        <v>0.4</v>
      </c>
      <c r="H39" t="str">
        <f t="shared" si="1"/>
        <v>Not met</v>
      </c>
    </row>
    <row r="40" spans="1:8" x14ac:dyDescent="0.3">
      <c r="A40" s="1" t="s">
        <v>48</v>
      </c>
      <c r="B40" s="2">
        <v>45474</v>
      </c>
      <c r="C40" t="str">
        <f>VLOOKUP($A40,[1]List1_ContactInfo!$A$2:$B$58,2,FALSE)</f>
        <v>attendee44@company.com</v>
      </c>
      <c r="D40" t="str">
        <f>VLOOKUP($A40,[1]List2_Department!$A$1:$B$51,2,FALSE)</f>
        <v>IT</v>
      </c>
      <c r="E40">
        <f t="shared" si="2"/>
        <v>5</v>
      </c>
      <c r="F40">
        <f>SUMIF(List3_Details!A40:A289,Table1[[#This Row],[Name]],List3_Details!D40:D289)</f>
        <v>2</v>
      </c>
      <c r="G40" s="4">
        <f>Table1[[#This Row],[Actual days present]]/Table1[[#This Row],[Total days present]]</f>
        <v>0.4</v>
      </c>
      <c r="H40" t="str">
        <f t="shared" si="1"/>
        <v>Requirement met</v>
      </c>
    </row>
    <row r="41" spans="1:8" x14ac:dyDescent="0.3">
      <c r="A41" s="1" t="s">
        <v>49</v>
      </c>
      <c r="B41" s="2">
        <v>45474</v>
      </c>
      <c r="C41" t="str">
        <f>VLOOKUP($A41,[1]List1_ContactInfo!$A$2:$B$58,2,FALSE)</f>
        <v>attendee45@company.com</v>
      </c>
      <c r="D41" t="str">
        <f>VLOOKUP($A41,[1]List2_Department!$A$1:$B$51,2,FALSE)</f>
        <v>Finance</v>
      </c>
      <c r="E41">
        <f t="shared" si="2"/>
        <v>5</v>
      </c>
      <c r="F41">
        <f>SUMIF(List3_Details!A41:A290,Table1[[#This Row],[Name]],List3_Details!D41:D290)</f>
        <v>3</v>
      </c>
      <c r="G41" s="4">
        <f>Table1[[#This Row],[Actual days present]]/Table1[[#This Row],[Total days present]]</f>
        <v>0.6</v>
      </c>
      <c r="H41" t="str">
        <f t="shared" si="1"/>
        <v>Requirement met</v>
      </c>
    </row>
    <row r="42" spans="1:8" x14ac:dyDescent="0.3">
      <c r="A42" s="1" t="s">
        <v>50</v>
      </c>
      <c r="B42" s="2">
        <v>45474</v>
      </c>
      <c r="C42" t="str">
        <f>VLOOKUP($A42,[1]List1_ContactInfo!$A$2:$B$58,2,FALSE)</f>
        <v>attendee46@company.com</v>
      </c>
      <c r="D42" t="str">
        <f>VLOOKUP($A42,[1]List2_Department!$A$1:$B$51,2,FALSE)</f>
        <v>Marketing</v>
      </c>
      <c r="E42">
        <f t="shared" si="2"/>
        <v>5</v>
      </c>
      <c r="F42">
        <f>SUMIF(List3_Details!A42:A291,Table1[[#This Row],[Name]],List3_Details!D42:D291)</f>
        <v>2</v>
      </c>
      <c r="G42" s="4">
        <f>Table1[[#This Row],[Actual days present]]/Table1[[#This Row],[Total days present]]</f>
        <v>0.4</v>
      </c>
      <c r="H42" t="str">
        <f t="shared" si="1"/>
        <v>Not met</v>
      </c>
    </row>
    <row r="43" spans="1:8" x14ac:dyDescent="0.3">
      <c r="A43" s="1" t="s">
        <v>51</v>
      </c>
      <c r="B43" s="2">
        <v>45474</v>
      </c>
      <c r="C43" t="str">
        <f>VLOOKUP($A43,[1]List1_ContactInfo!$A$2:$B$58,2,FALSE)</f>
        <v>attendee47@company.com</v>
      </c>
      <c r="D43" t="str">
        <f>VLOOKUP($A43,[1]List2_Department!$A$1:$B$51,2,FALSE)</f>
        <v>Sales</v>
      </c>
      <c r="E43">
        <f t="shared" si="2"/>
        <v>5</v>
      </c>
      <c r="F43">
        <f>SUMIF(List3_Details!A43:A292,Table1[[#This Row],[Name]],List3_Details!D43:D292)</f>
        <v>4</v>
      </c>
      <c r="G43" s="4">
        <f>Table1[[#This Row],[Actual days present]]/Table1[[#This Row],[Total days present]]</f>
        <v>0.8</v>
      </c>
      <c r="H43" t="str">
        <f t="shared" si="1"/>
        <v>Requirement met</v>
      </c>
    </row>
    <row r="44" spans="1:8" x14ac:dyDescent="0.3">
      <c r="A44" s="1" t="s">
        <v>52</v>
      </c>
      <c r="B44" s="2">
        <v>45474</v>
      </c>
      <c r="C44" t="str">
        <f>VLOOKUP($A44,[1]List1_ContactInfo!$A$2:$B$58,2,FALSE)</f>
        <v>attendee48@company.com</v>
      </c>
      <c r="D44" t="str">
        <f>VLOOKUP($A44,[1]List2_Department!$A$1:$B$51,2,FALSE)</f>
        <v>HR</v>
      </c>
      <c r="E44">
        <f t="shared" si="2"/>
        <v>5</v>
      </c>
      <c r="F44">
        <f>SUMIF(List3_Details!A44:A293,Table1[[#This Row],[Name]],List3_Details!D44:D293)</f>
        <v>0</v>
      </c>
      <c r="G44" s="4">
        <f>Table1[[#This Row],[Actual days present]]/Table1[[#This Row],[Total days present]]</f>
        <v>0</v>
      </c>
      <c r="H44" t="str">
        <f t="shared" si="1"/>
        <v>Not met</v>
      </c>
    </row>
    <row r="45" spans="1:8" x14ac:dyDescent="0.3">
      <c r="A45" s="1" t="s">
        <v>53</v>
      </c>
      <c r="B45" s="2">
        <v>45474</v>
      </c>
      <c r="C45" t="str">
        <f>VLOOKUP($A45,[1]List1_ContactInfo!$A$2:$B$58,2,FALSE)</f>
        <v>attendee49@company.com</v>
      </c>
      <c r="D45" t="str">
        <f>VLOOKUP($A45,[1]List2_Department!$A$1:$B$51,2,FALSE)</f>
        <v>IT</v>
      </c>
      <c r="E45">
        <f t="shared" si="2"/>
        <v>5</v>
      </c>
      <c r="F45">
        <f>SUMIF(List3_Details!A45:A294,Table1[[#This Row],[Name]],List3_Details!D45:D294)</f>
        <v>2</v>
      </c>
      <c r="G45" s="4">
        <f>Table1[[#This Row],[Actual days present]]/Table1[[#This Row],[Total days present]]</f>
        <v>0.4</v>
      </c>
      <c r="H45" t="str">
        <f t="shared" si="1"/>
        <v>Requirement met</v>
      </c>
    </row>
    <row r="46" spans="1:8" x14ac:dyDescent="0.3">
      <c r="A46" s="1" t="s">
        <v>9</v>
      </c>
      <c r="B46" s="2">
        <v>45474</v>
      </c>
      <c r="C46" t="str">
        <f>VLOOKUP($A46,[1]List1_ContactInfo!$A$2:$B$58,2,FALSE)</f>
        <v>attendee5@company.com</v>
      </c>
      <c r="D46" t="str">
        <f>VLOOKUP($A46,[1]List2_Department!$A$1:$B$51,2,FALSE)</f>
        <v>Finance</v>
      </c>
      <c r="E46">
        <f t="shared" si="2"/>
        <v>5</v>
      </c>
      <c r="F46">
        <f>SUMIF(List3_Details!A46:A295,Table1[[#This Row],[Name]],List3_Details!D46:D295)</f>
        <v>3</v>
      </c>
      <c r="G46" s="4">
        <f>Table1[[#This Row],[Actual days present]]/Table1[[#This Row],[Total days present]]</f>
        <v>0.6</v>
      </c>
      <c r="H46" t="str">
        <f t="shared" si="1"/>
        <v>Requirement met</v>
      </c>
    </row>
    <row r="47" spans="1:8" x14ac:dyDescent="0.3">
      <c r="A47" s="1" t="s">
        <v>54</v>
      </c>
      <c r="B47" s="2">
        <v>45474</v>
      </c>
      <c r="C47" t="str">
        <f>VLOOKUP($A47,[1]List1_ContactInfo!$A$2:$B$58,2,FALSE)</f>
        <v>attendee50@company.com</v>
      </c>
      <c r="D47" t="str">
        <f>VLOOKUP($A47,[1]List2_Department!$A$1:$B$51,2,FALSE)</f>
        <v>Finance</v>
      </c>
      <c r="E47">
        <f t="shared" si="2"/>
        <v>5</v>
      </c>
      <c r="F47">
        <f>SUMIF(List3_Details!A47:A296,Table1[[#This Row],[Name]],List3_Details!D47:D296)</f>
        <v>1</v>
      </c>
      <c r="G47" s="4">
        <f>Table1[[#This Row],[Actual days present]]/Table1[[#This Row],[Total days present]]</f>
        <v>0.2</v>
      </c>
      <c r="H47" t="str">
        <f t="shared" si="1"/>
        <v>Not met</v>
      </c>
    </row>
    <row r="48" spans="1:8" x14ac:dyDescent="0.3">
      <c r="A48" s="1" t="s">
        <v>10</v>
      </c>
      <c r="B48" s="2">
        <v>45474</v>
      </c>
      <c r="C48" t="str">
        <f>VLOOKUP($A48,[1]List1_ContactInfo!$A$2:$B$58,2,FALSE)</f>
        <v>attendee6@company.com</v>
      </c>
      <c r="D48" t="str">
        <f>VLOOKUP($A48,[1]List2_Department!$A$1:$B$51,2,FALSE)</f>
        <v>Marketing</v>
      </c>
      <c r="E48">
        <f t="shared" si="2"/>
        <v>5</v>
      </c>
      <c r="F48">
        <f>SUMIF(List3_Details!A48:A297,Table1[[#This Row],[Name]],List3_Details!D48:D297)</f>
        <v>3</v>
      </c>
      <c r="G48" s="4">
        <f>Table1[[#This Row],[Actual days present]]/Table1[[#This Row],[Total days present]]</f>
        <v>0.6</v>
      </c>
      <c r="H48" t="str">
        <f t="shared" si="1"/>
        <v>Not met</v>
      </c>
    </row>
    <row r="49" spans="1:8" x14ac:dyDescent="0.3">
      <c r="A49" s="1" t="s">
        <v>11</v>
      </c>
      <c r="B49" s="2">
        <v>45474</v>
      </c>
      <c r="C49" t="str">
        <f>VLOOKUP($A49,[1]List1_ContactInfo!$A$2:$B$58,2,FALSE)</f>
        <v>attendee7@company.com</v>
      </c>
      <c r="D49" t="str">
        <f>VLOOKUP($A49,[1]List2_Department!$A$1:$B$51,2,FALSE)</f>
        <v>Sales</v>
      </c>
      <c r="E49">
        <f t="shared" si="2"/>
        <v>5</v>
      </c>
      <c r="F49">
        <f>SUMIF(List3_Details!A49:A298,Table1[[#This Row],[Name]],List3_Details!D49:D298)</f>
        <v>4</v>
      </c>
      <c r="G49" s="4">
        <f>Table1[[#This Row],[Actual days present]]/Table1[[#This Row],[Total days present]]</f>
        <v>0.8</v>
      </c>
      <c r="H49" t="str">
        <f t="shared" si="1"/>
        <v>Requirement met</v>
      </c>
    </row>
    <row r="50" spans="1:8" x14ac:dyDescent="0.3">
      <c r="A50" s="1" t="s">
        <v>12</v>
      </c>
      <c r="B50" s="2">
        <v>45474</v>
      </c>
      <c r="C50" t="str">
        <f>VLOOKUP($A50,[1]List1_ContactInfo!$A$2:$B$58,2,FALSE)</f>
        <v>attendee8@company.com</v>
      </c>
      <c r="D50" t="str">
        <f>VLOOKUP($A50,[1]List2_Department!$A$1:$B$51,2,FALSE)</f>
        <v>HR</v>
      </c>
      <c r="E50">
        <f t="shared" si="2"/>
        <v>5</v>
      </c>
      <c r="F50">
        <f>SUMIF(List3_Details!A50:A299,Table1[[#This Row],[Name]],List3_Details!D50:D299)</f>
        <v>3</v>
      </c>
      <c r="G50" s="4">
        <f>Table1[[#This Row],[Actual days present]]/Table1[[#This Row],[Total days present]]</f>
        <v>0.6</v>
      </c>
      <c r="H50" t="str">
        <f t="shared" si="1"/>
        <v>Not met</v>
      </c>
    </row>
    <row r="51" spans="1:8" x14ac:dyDescent="0.3">
      <c r="A51" s="1" t="s">
        <v>13</v>
      </c>
      <c r="B51" s="2">
        <v>45474</v>
      </c>
      <c r="C51" t="str">
        <f>VLOOKUP($A51,[1]List1_ContactInfo!$A$2:$B$58,2,FALSE)</f>
        <v>attendee9@company.com</v>
      </c>
      <c r="D51" t="str">
        <f>VLOOKUP($A51,[1]List2_Department!$A$1:$B$51,2,FALSE)</f>
        <v>IT</v>
      </c>
      <c r="E51">
        <f t="shared" si="2"/>
        <v>5</v>
      </c>
      <c r="F51">
        <f>SUMIF(List3_Details!A51:A300,Table1[[#This Row],[Name]],List3_Details!D51:D300)</f>
        <v>4</v>
      </c>
      <c r="G51" s="4">
        <f>Table1[[#This Row],[Actual days present]]/Table1[[#This Row],[Total days present]]</f>
        <v>0.8</v>
      </c>
      <c r="H51" t="str">
        <f t="shared" si="1"/>
        <v>Requirement met</v>
      </c>
    </row>
    <row r="52" spans="1:8" x14ac:dyDescent="0.3">
      <c r="A52" s="1"/>
      <c r="B52" s="2"/>
      <c r="F52">
        <f>COUNTIF($F$2:$F$51,1)</f>
        <v>4</v>
      </c>
      <c r="G52" s="6"/>
    </row>
  </sheetData>
  <phoneticPr fontId="4" type="noConversion"/>
  <conditionalFormatting sqref="A2:A51">
    <cfRule type="duplicateValues" dxfId="9" priority="16"/>
  </conditionalFormatting>
  <conditionalFormatting sqref="D1:D1048576">
    <cfRule type="containsText" dxfId="8" priority="2" operator="containsText" text="Sales">
      <formula>NOT(ISERROR(SEARCH("Sales",D1)))</formula>
    </cfRule>
    <cfRule type="containsText" dxfId="7" priority="3" operator="containsText" text="IT">
      <formula>NOT(ISERROR(SEARCH("IT",D1)))</formula>
    </cfRule>
    <cfRule type="containsText" dxfId="6" priority="5" operator="containsText" text="HR">
      <formula>NOT(ISERROR(SEARCH("HR",D1)))</formula>
    </cfRule>
    <cfRule type="containsText" dxfId="5" priority="6" operator="containsText" text="Finance">
      <formula>NOT(ISERROR(SEARCH("Finance",D1)))</formula>
    </cfRule>
    <cfRule type="containsText" dxfId="4" priority="7" operator="containsText" text="Marketing">
      <formula>NOT(ISERROR(SEARCH("Marketing",D1)))</formula>
    </cfRule>
  </conditionalFormatting>
  <conditionalFormatting sqref="E6">
    <cfRule type="containsText" dxfId="3" priority="4" operator="containsText" text="IT">
      <formula>NOT(ISERROR(SEARCH("IT",E6)))</formula>
    </cfRule>
  </conditionalFormatting>
  <conditionalFormatting sqref="F2:F5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{516BB52D-83E4-4B6F-A9FD-37D2D97E6364}</x14:id>
        </ext>
      </extLst>
    </cfRule>
  </conditionalFormatting>
  <conditionalFormatting sqref="G1:G1048576">
    <cfRule type="top10" dxfId="2" priority="1" rank="1"/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BB52D-83E4-4B6F-A9FD-37D2D97E63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353C-5DA6-4E88-9A34-5908F9D55778}">
  <dimension ref="A1:H1000"/>
  <sheetViews>
    <sheetView workbookViewId="0">
      <selection activeCell="G17" sqref="G17"/>
    </sheetView>
  </sheetViews>
  <sheetFormatPr defaultColWidth="14.44140625" defaultRowHeight="15" customHeight="1" x14ac:dyDescent="0.3"/>
  <cols>
    <col min="1" max="1" width="10.88671875" style="10" bestFit="1" customWidth="1"/>
    <col min="2" max="2" width="8.44140625" style="10" bestFit="1" customWidth="1"/>
    <col min="3" max="3" width="8.88671875" style="10" customWidth="1"/>
    <col min="4" max="4" width="18" style="10" bestFit="1" customWidth="1"/>
    <col min="5" max="5" width="15.88671875" style="10" bestFit="1" customWidth="1"/>
    <col min="6" max="6" width="8.88671875" style="10" customWidth="1"/>
    <col min="7" max="7" width="12.5546875" style="10" bestFit="1" customWidth="1"/>
    <col min="8" max="8" width="10.77734375" style="10" bestFit="1" customWidth="1"/>
    <col min="9" max="22" width="8.88671875" style="10" customWidth="1"/>
    <col min="23" max="16384" width="14.44140625" style="10"/>
  </cols>
  <sheetData>
    <row r="1" spans="1:8" ht="14.4" x14ac:dyDescent="0.3">
      <c r="A1" s="7" t="s">
        <v>0</v>
      </c>
      <c r="B1" s="8" t="s">
        <v>64</v>
      </c>
      <c r="C1" s="8" t="s">
        <v>65</v>
      </c>
      <c r="D1" s="9" t="s">
        <v>66</v>
      </c>
      <c r="E1" s="9" t="s">
        <v>67</v>
      </c>
    </row>
    <row r="2" spans="1:8" ht="14.4" x14ac:dyDescent="0.3">
      <c r="A2" s="11" t="s">
        <v>5</v>
      </c>
      <c r="B2" s="12">
        <v>45474</v>
      </c>
      <c r="C2" s="11" t="s">
        <v>68</v>
      </c>
      <c r="D2" s="10">
        <f t="shared" ref="D2:D65" si="0">IF($C2="Yes",1,0)</f>
        <v>1</v>
      </c>
      <c r="E2" s="10" t="str">
        <f>IF(C2="Yes","Present","Absent")</f>
        <v>Present</v>
      </c>
    </row>
    <row r="3" spans="1:8" ht="14.4" x14ac:dyDescent="0.3">
      <c r="A3" s="11" t="s">
        <v>5</v>
      </c>
      <c r="B3" s="12">
        <v>45475</v>
      </c>
      <c r="C3" s="10" t="s">
        <v>69</v>
      </c>
      <c r="D3" s="10">
        <f t="shared" si="0"/>
        <v>0</v>
      </c>
      <c r="E3" s="10" t="str">
        <f t="shared" ref="E3:E66" si="1">IF(C3="Yes","Present","Absent")</f>
        <v>Absent</v>
      </c>
      <c r="G3" s="5" t="s">
        <v>73</v>
      </c>
      <c r="H3" t="s">
        <v>70</v>
      </c>
    </row>
    <row r="4" spans="1:8" ht="14.4" x14ac:dyDescent="0.3">
      <c r="A4" s="11" t="s">
        <v>5</v>
      </c>
      <c r="B4" s="12">
        <v>45476</v>
      </c>
      <c r="C4" s="10" t="s">
        <v>69</v>
      </c>
      <c r="D4" s="10">
        <f t="shared" si="0"/>
        <v>0</v>
      </c>
      <c r="E4" s="10" t="str">
        <f t="shared" si="1"/>
        <v>Absent</v>
      </c>
      <c r="G4" s="13">
        <v>45474</v>
      </c>
      <c r="H4">
        <v>25</v>
      </c>
    </row>
    <row r="5" spans="1:8" ht="14.4" x14ac:dyDescent="0.3">
      <c r="A5" s="11" t="s">
        <v>5</v>
      </c>
      <c r="B5" s="12">
        <v>45477</v>
      </c>
      <c r="C5" s="10" t="s">
        <v>68</v>
      </c>
      <c r="D5" s="10">
        <f t="shared" si="0"/>
        <v>1</v>
      </c>
      <c r="E5" s="10" t="str">
        <f t="shared" si="1"/>
        <v>Present</v>
      </c>
      <c r="G5" s="13">
        <v>45475</v>
      </c>
      <c r="H5">
        <v>25</v>
      </c>
    </row>
    <row r="6" spans="1:8" ht="14.4" x14ac:dyDescent="0.3">
      <c r="A6" s="11" t="s">
        <v>5</v>
      </c>
      <c r="B6" s="12">
        <v>45478</v>
      </c>
      <c r="C6" s="10" t="s">
        <v>69</v>
      </c>
      <c r="D6" s="10">
        <f t="shared" si="0"/>
        <v>0</v>
      </c>
      <c r="E6" s="10" t="str">
        <f t="shared" si="1"/>
        <v>Absent</v>
      </c>
      <c r="G6" s="13">
        <v>45476</v>
      </c>
      <c r="H6">
        <v>24</v>
      </c>
    </row>
    <row r="7" spans="1:8" ht="14.4" x14ac:dyDescent="0.3">
      <c r="A7" s="11" t="s">
        <v>14</v>
      </c>
      <c r="B7" s="12">
        <v>45474</v>
      </c>
      <c r="C7" s="11" t="s">
        <v>69</v>
      </c>
      <c r="D7" s="10">
        <f t="shared" si="0"/>
        <v>0</v>
      </c>
      <c r="E7" s="10" t="str">
        <f t="shared" si="1"/>
        <v>Absent</v>
      </c>
      <c r="G7" s="13">
        <v>45477</v>
      </c>
      <c r="H7">
        <v>30</v>
      </c>
    </row>
    <row r="8" spans="1:8" ht="14.4" x14ac:dyDescent="0.3">
      <c r="A8" s="11" t="s">
        <v>14</v>
      </c>
      <c r="B8" s="12">
        <v>45475</v>
      </c>
      <c r="C8" s="10" t="s">
        <v>68</v>
      </c>
      <c r="D8" s="10">
        <f t="shared" si="0"/>
        <v>1</v>
      </c>
      <c r="E8" s="10" t="str">
        <f t="shared" si="1"/>
        <v>Present</v>
      </c>
      <c r="G8" s="13">
        <v>45478</v>
      </c>
      <c r="H8">
        <v>23</v>
      </c>
    </row>
    <row r="9" spans="1:8" ht="14.4" x14ac:dyDescent="0.3">
      <c r="A9" s="11" t="s">
        <v>14</v>
      </c>
      <c r="B9" s="12">
        <v>45476</v>
      </c>
      <c r="C9" s="10" t="s">
        <v>68</v>
      </c>
      <c r="D9" s="10">
        <f t="shared" si="0"/>
        <v>1</v>
      </c>
      <c r="E9" s="10" t="str">
        <f t="shared" si="1"/>
        <v>Present</v>
      </c>
      <c r="G9" s="13" t="s">
        <v>63</v>
      </c>
      <c r="H9">
        <v>127</v>
      </c>
    </row>
    <row r="10" spans="1:8" ht="14.4" x14ac:dyDescent="0.3">
      <c r="A10" s="11" t="s">
        <v>14</v>
      </c>
      <c r="B10" s="12">
        <v>45477</v>
      </c>
      <c r="C10" s="10" t="s">
        <v>69</v>
      </c>
      <c r="D10" s="10">
        <f t="shared" si="0"/>
        <v>0</v>
      </c>
      <c r="E10" s="10" t="str">
        <f t="shared" si="1"/>
        <v>Absent</v>
      </c>
    </row>
    <row r="11" spans="1:8" ht="14.4" x14ac:dyDescent="0.3">
      <c r="A11" s="11" t="s">
        <v>14</v>
      </c>
      <c r="B11" s="12">
        <v>45478</v>
      </c>
      <c r="C11" s="10" t="s">
        <v>69</v>
      </c>
      <c r="D11" s="10">
        <f t="shared" si="0"/>
        <v>0</v>
      </c>
      <c r="E11" s="10" t="str">
        <f t="shared" si="1"/>
        <v>Absent</v>
      </c>
    </row>
    <row r="12" spans="1:8" ht="14.4" x14ac:dyDescent="0.3">
      <c r="A12" s="11" t="s">
        <v>15</v>
      </c>
      <c r="B12" s="12">
        <v>45474</v>
      </c>
      <c r="C12" s="11" t="s">
        <v>68</v>
      </c>
      <c r="D12" s="10">
        <f t="shared" si="0"/>
        <v>1</v>
      </c>
      <c r="E12" s="10" t="str">
        <f t="shared" si="1"/>
        <v>Present</v>
      </c>
    </row>
    <row r="13" spans="1:8" ht="14.4" x14ac:dyDescent="0.3">
      <c r="A13" s="11" t="s">
        <v>15</v>
      </c>
      <c r="B13" s="12">
        <v>45475</v>
      </c>
      <c r="C13" s="10" t="s">
        <v>69</v>
      </c>
      <c r="D13" s="10">
        <f t="shared" si="0"/>
        <v>0</v>
      </c>
      <c r="E13" s="10" t="str">
        <f t="shared" si="1"/>
        <v>Absent</v>
      </c>
    </row>
    <row r="14" spans="1:8" ht="14.4" x14ac:dyDescent="0.3">
      <c r="A14" s="11" t="s">
        <v>15</v>
      </c>
      <c r="B14" s="12">
        <v>45476</v>
      </c>
      <c r="C14" s="10" t="s">
        <v>68</v>
      </c>
      <c r="D14" s="10">
        <f t="shared" si="0"/>
        <v>1</v>
      </c>
      <c r="E14" s="10" t="str">
        <f t="shared" si="1"/>
        <v>Present</v>
      </c>
    </row>
    <row r="15" spans="1:8" ht="14.4" x14ac:dyDescent="0.3">
      <c r="A15" s="11" t="s">
        <v>15</v>
      </c>
      <c r="B15" s="12">
        <v>45477</v>
      </c>
      <c r="C15" s="10" t="s">
        <v>68</v>
      </c>
      <c r="D15" s="10">
        <f t="shared" si="0"/>
        <v>1</v>
      </c>
      <c r="E15" s="10" t="str">
        <f t="shared" si="1"/>
        <v>Present</v>
      </c>
    </row>
    <row r="16" spans="1:8" ht="14.4" x14ac:dyDescent="0.3">
      <c r="A16" s="11" t="s">
        <v>15</v>
      </c>
      <c r="B16" s="12">
        <v>45478</v>
      </c>
      <c r="C16" s="10" t="s">
        <v>69</v>
      </c>
      <c r="D16" s="10">
        <f t="shared" si="0"/>
        <v>0</v>
      </c>
      <c r="E16" s="10" t="str">
        <f t="shared" si="1"/>
        <v>Absent</v>
      </c>
    </row>
    <row r="17" spans="1:5" ht="14.4" x14ac:dyDescent="0.3">
      <c r="A17" s="11" t="s">
        <v>16</v>
      </c>
      <c r="B17" s="12">
        <v>45474</v>
      </c>
      <c r="C17" s="11" t="s">
        <v>69</v>
      </c>
      <c r="D17" s="10">
        <f t="shared" si="0"/>
        <v>0</v>
      </c>
      <c r="E17" s="10" t="str">
        <f t="shared" si="1"/>
        <v>Absent</v>
      </c>
    </row>
    <row r="18" spans="1:5" ht="14.4" x14ac:dyDescent="0.3">
      <c r="A18" s="11" t="s">
        <v>16</v>
      </c>
      <c r="B18" s="12">
        <v>45475</v>
      </c>
      <c r="C18" s="10" t="s">
        <v>69</v>
      </c>
      <c r="D18" s="10">
        <f t="shared" si="0"/>
        <v>0</v>
      </c>
      <c r="E18" s="10" t="str">
        <f t="shared" si="1"/>
        <v>Absent</v>
      </c>
    </row>
    <row r="19" spans="1:5" ht="14.4" x14ac:dyDescent="0.3">
      <c r="A19" s="11" t="s">
        <v>16</v>
      </c>
      <c r="B19" s="12">
        <v>45476</v>
      </c>
      <c r="C19" s="10" t="s">
        <v>69</v>
      </c>
      <c r="D19" s="10">
        <f t="shared" si="0"/>
        <v>0</v>
      </c>
      <c r="E19" s="10" t="str">
        <f t="shared" si="1"/>
        <v>Absent</v>
      </c>
    </row>
    <row r="20" spans="1:5" ht="14.4" x14ac:dyDescent="0.3">
      <c r="A20" s="11" t="s">
        <v>16</v>
      </c>
      <c r="B20" s="12">
        <v>45477</v>
      </c>
      <c r="C20" s="10" t="s">
        <v>69</v>
      </c>
      <c r="D20" s="10">
        <f t="shared" si="0"/>
        <v>0</v>
      </c>
      <c r="E20" s="10" t="str">
        <f t="shared" si="1"/>
        <v>Absent</v>
      </c>
    </row>
    <row r="21" spans="1:5" ht="15.75" customHeight="1" x14ac:dyDescent="0.3">
      <c r="A21" s="11" t="s">
        <v>16</v>
      </c>
      <c r="B21" s="12">
        <v>45478</v>
      </c>
      <c r="C21" s="10" t="s">
        <v>69</v>
      </c>
      <c r="D21" s="10">
        <f t="shared" si="0"/>
        <v>0</v>
      </c>
      <c r="E21" s="10" t="str">
        <f t="shared" si="1"/>
        <v>Absent</v>
      </c>
    </row>
    <row r="22" spans="1:5" ht="15.75" customHeight="1" x14ac:dyDescent="0.3">
      <c r="A22" s="11" t="s">
        <v>17</v>
      </c>
      <c r="B22" s="12">
        <v>45474</v>
      </c>
      <c r="C22" s="11" t="s">
        <v>68</v>
      </c>
      <c r="D22" s="10">
        <f t="shared" si="0"/>
        <v>1</v>
      </c>
      <c r="E22" s="10" t="str">
        <f t="shared" si="1"/>
        <v>Present</v>
      </c>
    </row>
    <row r="23" spans="1:5" ht="15.75" customHeight="1" x14ac:dyDescent="0.3">
      <c r="A23" s="11" t="s">
        <v>17</v>
      </c>
      <c r="B23" s="12">
        <v>45475</v>
      </c>
      <c r="C23" s="10" t="s">
        <v>68</v>
      </c>
      <c r="D23" s="10">
        <f t="shared" si="0"/>
        <v>1</v>
      </c>
      <c r="E23" s="10" t="str">
        <f t="shared" si="1"/>
        <v>Present</v>
      </c>
    </row>
    <row r="24" spans="1:5" ht="15.75" customHeight="1" x14ac:dyDescent="0.3">
      <c r="A24" s="11" t="s">
        <v>17</v>
      </c>
      <c r="B24" s="12">
        <v>45476</v>
      </c>
      <c r="C24" s="10" t="s">
        <v>69</v>
      </c>
      <c r="D24" s="10">
        <f t="shared" si="0"/>
        <v>0</v>
      </c>
      <c r="E24" s="10" t="str">
        <f t="shared" si="1"/>
        <v>Absent</v>
      </c>
    </row>
    <row r="25" spans="1:5" ht="15.75" customHeight="1" x14ac:dyDescent="0.3">
      <c r="A25" s="11" t="s">
        <v>17</v>
      </c>
      <c r="B25" s="12">
        <v>45477</v>
      </c>
      <c r="C25" s="10" t="s">
        <v>69</v>
      </c>
      <c r="D25" s="10">
        <f t="shared" si="0"/>
        <v>0</v>
      </c>
      <c r="E25" s="10" t="str">
        <f t="shared" si="1"/>
        <v>Absent</v>
      </c>
    </row>
    <row r="26" spans="1:5" ht="15.75" customHeight="1" x14ac:dyDescent="0.3">
      <c r="A26" s="11" t="s">
        <v>17</v>
      </c>
      <c r="B26" s="12">
        <v>45478</v>
      </c>
      <c r="C26" s="10" t="s">
        <v>68</v>
      </c>
      <c r="D26" s="10">
        <f t="shared" si="0"/>
        <v>1</v>
      </c>
      <c r="E26" s="10" t="str">
        <f t="shared" si="1"/>
        <v>Present</v>
      </c>
    </row>
    <row r="27" spans="1:5" ht="15.75" customHeight="1" x14ac:dyDescent="0.3">
      <c r="A27" s="11" t="s">
        <v>18</v>
      </c>
      <c r="B27" s="12">
        <v>45474</v>
      </c>
      <c r="C27" s="11" t="s">
        <v>69</v>
      </c>
      <c r="D27" s="10">
        <f t="shared" si="0"/>
        <v>0</v>
      </c>
      <c r="E27" s="10" t="str">
        <f t="shared" si="1"/>
        <v>Absent</v>
      </c>
    </row>
    <row r="28" spans="1:5" ht="15.75" customHeight="1" x14ac:dyDescent="0.3">
      <c r="A28" s="11" t="s">
        <v>18</v>
      </c>
      <c r="B28" s="12">
        <v>45475</v>
      </c>
      <c r="C28" s="10" t="s">
        <v>68</v>
      </c>
      <c r="D28" s="10">
        <f t="shared" si="0"/>
        <v>1</v>
      </c>
      <c r="E28" s="10" t="str">
        <f t="shared" si="1"/>
        <v>Present</v>
      </c>
    </row>
    <row r="29" spans="1:5" ht="15.75" customHeight="1" x14ac:dyDescent="0.3">
      <c r="A29" s="11" t="s">
        <v>18</v>
      </c>
      <c r="B29" s="12">
        <v>45476</v>
      </c>
      <c r="C29" s="10" t="s">
        <v>69</v>
      </c>
      <c r="D29" s="10">
        <f t="shared" si="0"/>
        <v>0</v>
      </c>
      <c r="E29" s="10" t="str">
        <f t="shared" si="1"/>
        <v>Absent</v>
      </c>
    </row>
    <row r="30" spans="1:5" ht="15.75" customHeight="1" x14ac:dyDescent="0.3">
      <c r="A30" s="11" t="s">
        <v>18</v>
      </c>
      <c r="B30" s="12">
        <v>45477</v>
      </c>
      <c r="C30" s="10" t="s">
        <v>68</v>
      </c>
      <c r="D30" s="10">
        <f t="shared" si="0"/>
        <v>1</v>
      </c>
      <c r="E30" s="10" t="str">
        <f t="shared" si="1"/>
        <v>Present</v>
      </c>
    </row>
    <row r="31" spans="1:5" ht="15.75" customHeight="1" x14ac:dyDescent="0.3">
      <c r="A31" s="11" t="s">
        <v>18</v>
      </c>
      <c r="B31" s="12">
        <v>45478</v>
      </c>
      <c r="C31" s="10" t="s">
        <v>68</v>
      </c>
      <c r="D31" s="10">
        <f t="shared" si="0"/>
        <v>1</v>
      </c>
      <c r="E31" s="10" t="str">
        <f t="shared" si="1"/>
        <v>Present</v>
      </c>
    </row>
    <row r="32" spans="1:5" ht="15.75" customHeight="1" x14ac:dyDescent="0.3">
      <c r="A32" s="11" t="s">
        <v>19</v>
      </c>
      <c r="B32" s="12">
        <v>45474</v>
      </c>
      <c r="C32" s="11" t="s">
        <v>68</v>
      </c>
      <c r="D32" s="10">
        <f t="shared" si="0"/>
        <v>1</v>
      </c>
      <c r="E32" s="10" t="str">
        <f t="shared" si="1"/>
        <v>Present</v>
      </c>
    </row>
    <row r="33" spans="1:5" ht="15.75" customHeight="1" x14ac:dyDescent="0.3">
      <c r="A33" s="11" t="s">
        <v>19</v>
      </c>
      <c r="B33" s="12">
        <v>45475</v>
      </c>
      <c r="C33" s="10" t="s">
        <v>68</v>
      </c>
      <c r="D33" s="10">
        <f t="shared" si="0"/>
        <v>1</v>
      </c>
      <c r="E33" s="10" t="str">
        <f t="shared" si="1"/>
        <v>Present</v>
      </c>
    </row>
    <row r="34" spans="1:5" ht="15.75" customHeight="1" x14ac:dyDescent="0.3">
      <c r="A34" s="11" t="s">
        <v>19</v>
      </c>
      <c r="B34" s="12">
        <v>45476</v>
      </c>
      <c r="C34" s="10" t="s">
        <v>69</v>
      </c>
      <c r="D34" s="10">
        <f t="shared" si="0"/>
        <v>0</v>
      </c>
      <c r="E34" s="10" t="str">
        <f t="shared" si="1"/>
        <v>Absent</v>
      </c>
    </row>
    <row r="35" spans="1:5" ht="15.75" customHeight="1" x14ac:dyDescent="0.3">
      <c r="A35" s="11" t="s">
        <v>19</v>
      </c>
      <c r="B35" s="12">
        <v>45477</v>
      </c>
      <c r="C35" s="10" t="s">
        <v>68</v>
      </c>
      <c r="D35" s="10">
        <f t="shared" si="0"/>
        <v>1</v>
      </c>
      <c r="E35" s="10" t="str">
        <f t="shared" si="1"/>
        <v>Present</v>
      </c>
    </row>
    <row r="36" spans="1:5" ht="15.75" customHeight="1" x14ac:dyDescent="0.3">
      <c r="A36" s="11" t="s">
        <v>19</v>
      </c>
      <c r="B36" s="12">
        <v>45478</v>
      </c>
      <c r="C36" s="10" t="s">
        <v>69</v>
      </c>
      <c r="D36" s="10">
        <f t="shared" si="0"/>
        <v>0</v>
      </c>
      <c r="E36" s="10" t="str">
        <f t="shared" si="1"/>
        <v>Absent</v>
      </c>
    </row>
    <row r="37" spans="1:5" ht="15.75" customHeight="1" x14ac:dyDescent="0.3">
      <c r="A37" s="11" t="s">
        <v>20</v>
      </c>
      <c r="B37" s="12">
        <v>45474</v>
      </c>
      <c r="C37" s="11" t="s">
        <v>69</v>
      </c>
      <c r="D37" s="10">
        <f t="shared" si="0"/>
        <v>0</v>
      </c>
      <c r="E37" s="10" t="str">
        <f t="shared" si="1"/>
        <v>Absent</v>
      </c>
    </row>
    <row r="38" spans="1:5" ht="15.75" customHeight="1" x14ac:dyDescent="0.3">
      <c r="A38" s="11" t="s">
        <v>20</v>
      </c>
      <c r="B38" s="12">
        <v>45475</v>
      </c>
      <c r="C38" s="10" t="s">
        <v>69</v>
      </c>
      <c r="D38" s="10">
        <f t="shared" si="0"/>
        <v>0</v>
      </c>
      <c r="E38" s="10" t="str">
        <f t="shared" si="1"/>
        <v>Absent</v>
      </c>
    </row>
    <row r="39" spans="1:5" ht="15.75" customHeight="1" x14ac:dyDescent="0.3">
      <c r="A39" s="11" t="s">
        <v>20</v>
      </c>
      <c r="B39" s="12">
        <v>45476</v>
      </c>
      <c r="C39" s="10" t="s">
        <v>69</v>
      </c>
      <c r="D39" s="10">
        <f t="shared" si="0"/>
        <v>0</v>
      </c>
      <c r="E39" s="10" t="str">
        <f t="shared" si="1"/>
        <v>Absent</v>
      </c>
    </row>
    <row r="40" spans="1:5" ht="15.75" customHeight="1" x14ac:dyDescent="0.3">
      <c r="A40" s="11" t="s">
        <v>20</v>
      </c>
      <c r="B40" s="12">
        <v>45477</v>
      </c>
      <c r="C40" s="10" t="s">
        <v>68</v>
      </c>
      <c r="D40" s="10">
        <f t="shared" si="0"/>
        <v>1</v>
      </c>
      <c r="E40" s="10" t="str">
        <f t="shared" si="1"/>
        <v>Present</v>
      </c>
    </row>
    <row r="41" spans="1:5" ht="15.75" customHeight="1" x14ac:dyDescent="0.3">
      <c r="A41" s="11" t="s">
        <v>20</v>
      </c>
      <c r="B41" s="12">
        <v>45478</v>
      </c>
      <c r="C41" s="10" t="s">
        <v>68</v>
      </c>
      <c r="D41" s="10">
        <f t="shared" si="0"/>
        <v>1</v>
      </c>
      <c r="E41" s="10" t="str">
        <f t="shared" si="1"/>
        <v>Present</v>
      </c>
    </row>
    <row r="42" spans="1:5" ht="15.75" customHeight="1" x14ac:dyDescent="0.3">
      <c r="A42" s="11" t="s">
        <v>21</v>
      </c>
      <c r="B42" s="12">
        <v>45474</v>
      </c>
      <c r="C42" s="11" t="s">
        <v>68</v>
      </c>
      <c r="D42" s="10">
        <f t="shared" si="0"/>
        <v>1</v>
      </c>
      <c r="E42" s="10" t="str">
        <f t="shared" si="1"/>
        <v>Present</v>
      </c>
    </row>
    <row r="43" spans="1:5" ht="15.75" customHeight="1" x14ac:dyDescent="0.3">
      <c r="A43" s="11" t="s">
        <v>21</v>
      </c>
      <c r="B43" s="12">
        <v>45475</v>
      </c>
      <c r="C43" s="10" t="s">
        <v>69</v>
      </c>
      <c r="D43" s="10">
        <f t="shared" si="0"/>
        <v>0</v>
      </c>
      <c r="E43" s="10" t="str">
        <f t="shared" si="1"/>
        <v>Absent</v>
      </c>
    </row>
    <row r="44" spans="1:5" ht="15.75" customHeight="1" x14ac:dyDescent="0.3">
      <c r="A44" s="11" t="s">
        <v>21</v>
      </c>
      <c r="B44" s="12">
        <v>45476</v>
      </c>
      <c r="C44" s="10" t="s">
        <v>68</v>
      </c>
      <c r="D44" s="10">
        <f t="shared" si="0"/>
        <v>1</v>
      </c>
      <c r="E44" s="10" t="str">
        <f t="shared" si="1"/>
        <v>Present</v>
      </c>
    </row>
    <row r="45" spans="1:5" ht="15.75" customHeight="1" x14ac:dyDescent="0.3">
      <c r="A45" s="11" t="s">
        <v>21</v>
      </c>
      <c r="B45" s="12">
        <v>45477</v>
      </c>
      <c r="C45" s="10" t="s">
        <v>69</v>
      </c>
      <c r="D45" s="10">
        <f t="shared" si="0"/>
        <v>0</v>
      </c>
      <c r="E45" s="10" t="str">
        <f t="shared" si="1"/>
        <v>Absent</v>
      </c>
    </row>
    <row r="46" spans="1:5" ht="15.75" customHeight="1" x14ac:dyDescent="0.3">
      <c r="A46" s="11" t="s">
        <v>21</v>
      </c>
      <c r="B46" s="12">
        <v>45478</v>
      </c>
      <c r="C46" s="10" t="s">
        <v>68</v>
      </c>
      <c r="D46" s="10">
        <f t="shared" si="0"/>
        <v>1</v>
      </c>
      <c r="E46" s="10" t="str">
        <f t="shared" si="1"/>
        <v>Present</v>
      </c>
    </row>
    <row r="47" spans="1:5" ht="15.75" customHeight="1" x14ac:dyDescent="0.3">
      <c r="A47" s="11" t="s">
        <v>22</v>
      </c>
      <c r="B47" s="12">
        <v>45474</v>
      </c>
      <c r="C47" s="11" t="s">
        <v>69</v>
      </c>
      <c r="D47" s="10">
        <f t="shared" si="0"/>
        <v>0</v>
      </c>
      <c r="E47" s="10" t="str">
        <f t="shared" si="1"/>
        <v>Absent</v>
      </c>
    </row>
    <row r="48" spans="1:5" ht="15.75" customHeight="1" x14ac:dyDescent="0.3">
      <c r="A48" s="11" t="s">
        <v>22</v>
      </c>
      <c r="B48" s="12">
        <v>45475</v>
      </c>
      <c r="C48" s="10" t="s">
        <v>68</v>
      </c>
      <c r="D48" s="10">
        <f t="shared" si="0"/>
        <v>1</v>
      </c>
      <c r="E48" s="10" t="str">
        <f t="shared" si="1"/>
        <v>Present</v>
      </c>
    </row>
    <row r="49" spans="1:5" ht="15.75" customHeight="1" x14ac:dyDescent="0.3">
      <c r="A49" s="11" t="s">
        <v>22</v>
      </c>
      <c r="B49" s="12">
        <v>45476</v>
      </c>
      <c r="C49" s="10" t="s">
        <v>68</v>
      </c>
      <c r="D49" s="10">
        <f t="shared" si="0"/>
        <v>1</v>
      </c>
      <c r="E49" s="10" t="str">
        <f t="shared" si="1"/>
        <v>Present</v>
      </c>
    </row>
    <row r="50" spans="1:5" ht="15.75" customHeight="1" x14ac:dyDescent="0.3">
      <c r="A50" s="11" t="s">
        <v>22</v>
      </c>
      <c r="B50" s="12">
        <v>45477</v>
      </c>
      <c r="C50" s="10" t="s">
        <v>69</v>
      </c>
      <c r="D50" s="10">
        <f t="shared" si="0"/>
        <v>0</v>
      </c>
      <c r="E50" s="10" t="str">
        <f t="shared" si="1"/>
        <v>Absent</v>
      </c>
    </row>
    <row r="51" spans="1:5" ht="15.75" customHeight="1" x14ac:dyDescent="0.3">
      <c r="A51" s="11" t="s">
        <v>22</v>
      </c>
      <c r="B51" s="12">
        <v>45478</v>
      </c>
      <c r="C51" s="10" t="s">
        <v>68</v>
      </c>
      <c r="D51" s="10">
        <f t="shared" si="0"/>
        <v>1</v>
      </c>
      <c r="E51" s="10" t="str">
        <f t="shared" si="1"/>
        <v>Present</v>
      </c>
    </row>
    <row r="52" spans="1:5" ht="15.75" customHeight="1" x14ac:dyDescent="0.3">
      <c r="A52" s="11" t="s">
        <v>23</v>
      </c>
      <c r="B52" s="12">
        <v>45474</v>
      </c>
      <c r="C52" s="11" t="s">
        <v>68</v>
      </c>
      <c r="D52" s="10">
        <f t="shared" si="0"/>
        <v>1</v>
      </c>
      <c r="E52" s="10" t="str">
        <f t="shared" si="1"/>
        <v>Present</v>
      </c>
    </row>
    <row r="53" spans="1:5" ht="15.75" customHeight="1" x14ac:dyDescent="0.3">
      <c r="A53" s="11" t="s">
        <v>23</v>
      </c>
      <c r="B53" s="12">
        <v>45475</v>
      </c>
      <c r="C53" s="10" t="s">
        <v>68</v>
      </c>
      <c r="D53" s="10">
        <f t="shared" si="0"/>
        <v>1</v>
      </c>
      <c r="E53" s="10" t="str">
        <f t="shared" si="1"/>
        <v>Present</v>
      </c>
    </row>
    <row r="54" spans="1:5" ht="15.75" customHeight="1" x14ac:dyDescent="0.3">
      <c r="A54" s="11" t="s">
        <v>23</v>
      </c>
      <c r="B54" s="12">
        <v>45476</v>
      </c>
      <c r="C54" s="10" t="s">
        <v>68</v>
      </c>
      <c r="D54" s="10">
        <f t="shared" si="0"/>
        <v>1</v>
      </c>
      <c r="E54" s="10" t="str">
        <f t="shared" si="1"/>
        <v>Present</v>
      </c>
    </row>
    <row r="55" spans="1:5" ht="15.75" customHeight="1" x14ac:dyDescent="0.3">
      <c r="A55" s="11" t="s">
        <v>23</v>
      </c>
      <c r="B55" s="12">
        <v>45477</v>
      </c>
      <c r="C55" s="10" t="s">
        <v>69</v>
      </c>
      <c r="D55" s="10">
        <f t="shared" si="0"/>
        <v>0</v>
      </c>
      <c r="E55" s="10" t="str">
        <f t="shared" si="1"/>
        <v>Absent</v>
      </c>
    </row>
    <row r="56" spans="1:5" ht="15.75" customHeight="1" x14ac:dyDescent="0.3">
      <c r="A56" s="11" t="s">
        <v>23</v>
      </c>
      <c r="B56" s="12">
        <v>45478</v>
      </c>
      <c r="C56" s="10" t="s">
        <v>69</v>
      </c>
      <c r="D56" s="10">
        <f t="shared" si="0"/>
        <v>0</v>
      </c>
      <c r="E56" s="10" t="str">
        <f t="shared" si="1"/>
        <v>Absent</v>
      </c>
    </row>
    <row r="57" spans="1:5" ht="15.75" customHeight="1" x14ac:dyDescent="0.3">
      <c r="A57" s="11" t="s">
        <v>6</v>
      </c>
      <c r="B57" s="12">
        <v>45474</v>
      </c>
      <c r="C57" s="11" t="s">
        <v>69</v>
      </c>
      <c r="D57" s="10">
        <f t="shared" si="0"/>
        <v>0</v>
      </c>
      <c r="E57" s="10" t="str">
        <f t="shared" si="1"/>
        <v>Absent</v>
      </c>
    </row>
    <row r="58" spans="1:5" ht="15.75" customHeight="1" x14ac:dyDescent="0.3">
      <c r="A58" s="11" t="s">
        <v>6</v>
      </c>
      <c r="B58" s="12">
        <v>45475</v>
      </c>
      <c r="C58" s="10" t="s">
        <v>68</v>
      </c>
      <c r="D58" s="10">
        <f t="shared" si="0"/>
        <v>1</v>
      </c>
      <c r="E58" s="10" t="str">
        <f t="shared" si="1"/>
        <v>Present</v>
      </c>
    </row>
    <row r="59" spans="1:5" ht="15.75" customHeight="1" x14ac:dyDescent="0.3">
      <c r="A59" s="11" t="s">
        <v>6</v>
      </c>
      <c r="B59" s="12">
        <v>45476</v>
      </c>
      <c r="C59" s="10" t="s">
        <v>68</v>
      </c>
      <c r="D59" s="10">
        <f t="shared" si="0"/>
        <v>1</v>
      </c>
      <c r="E59" s="10" t="str">
        <f t="shared" si="1"/>
        <v>Present</v>
      </c>
    </row>
    <row r="60" spans="1:5" ht="15.75" customHeight="1" x14ac:dyDescent="0.3">
      <c r="A60" s="11" t="s">
        <v>6</v>
      </c>
      <c r="B60" s="12">
        <v>45477</v>
      </c>
      <c r="C60" s="10" t="s">
        <v>68</v>
      </c>
      <c r="D60" s="10">
        <f t="shared" si="0"/>
        <v>1</v>
      </c>
      <c r="E60" s="10" t="str">
        <f t="shared" si="1"/>
        <v>Present</v>
      </c>
    </row>
    <row r="61" spans="1:5" ht="15.75" customHeight="1" x14ac:dyDescent="0.3">
      <c r="A61" s="11" t="s">
        <v>6</v>
      </c>
      <c r="B61" s="12">
        <v>45478</v>
      </c>
      <c r="C61" s="10" t="s">
        <v>69</v>
      </c>
      <c r="D61" s="10">
        <f t="shared" si="0"/>
        <v>0</v>
      </c>
      <c r="E61" s="10" t="str">
        <f t="shared" si="1"/>
        <v>Absent</v>
      </c>
    </row>
    <row r="62" spans="1:5" ht="15.75" customHeight="1" x14ac:dyDescent="0.3">
      <c r="A62" s="11" t="s">
        <v>24</v>
      </c>
      <c r="B62" s="12">
        <v>45474</v>
      </c>
      <c r="C62" s="11" t="s">
        <v>69</v>
      </c>
      <c r="D62" s="10">
        <f t="shared" si="0"/>
        <v>0</v>
      </c>
      <c r="E62" s="10" t="str">
        <f t="shared" si="1"/>
        <v>Absent</v>
      </c>
    </row>
    <row r="63" spans="1:5" ht="15.75" customHeight="1" x14ac:dyDescent="0.3">
      <c r="A63" s="11" t="s">
        <v>24</v>
      </c>
      <c r="B63" s="12">
        <v>45475</v>
      </c>
      <c r="C63" s="10" t="s">
        <v>69</v>
      </c>
      <c r="D63" s="10">
        <f t="shared" si="0"/>
        <v>0</v>
      </c>
      <c r="E63" s="10" t="str">
        <f t="shared" si="1"/>
        <v>Absent</v>
      </c>
    </row>
    <row r="64" spans="1:5" ht="15.75" customHeight="1" x14ac:dyDescent="0.3">
      <c r="A64" s="11" t="s">
        <v>24</v>
      </c>
      <c r="B64" s="12">
        <v>45476</v>
      </c>
      <c r="C64" s="10" t="s">
        <v>69</v>
      </c>
      <c r="D64" s="10">
        <f t="shared" si="0"/>
        <v>0</v>
      </c>
      <c r="E64" s="10" t="str">
        <f t="shared" si="1"/>
        <v>Absent</v>
      </c>
    </row>
    <row r="65" spans="1:5" ht="15.75" customHeight="1" x14ac:dyDescent="0.3">
      <c r="A65" s="11" t="s">
        <v>24</v>
      </c>
      <c r="B65" s="12">
        <v>45477</v>
      </c>
      <c r="C65" s="10" t="s">
        <v>68</v>
      </c>
      <c r="D65" s="10">
        <f t="shared" si="0"/>
        <v>1</v>
      </c>
      <c r="E65" s="10" t="str">
        <f t="shared" si="1"/>
        <v>Present</v>
      </c>
    </row>
    <row r="66" spans="1:5" ht="15.75" customHeight="1" x14ac:dyDescent="0.3">
      <c r="A66" s="11" t="s">
        <v>24</v>
      </c>
      <c r="B66" s="12">
        <v>45478</v>
      </c>
      <c r="C66" s="10" t="s">
        <v>68</v>
      </c>
      <c r="D66" s="10">
        <f t="shared" ref="D66:D129" si="2">IF($C66="Yes",1,0)</f>
        <v>1</v>
      </c>
      <c r="E66" s="10" t="str">
        <f t="shared" si="1"/>
        <v>Present</v>
      </c>
    </row>
    <row r="67" spans="1:5" ht="15.75" customHeight="1" x14ac:dyDescent="0.3">
      <c r="A67" s="11" t="s">
        <v>25</v>
      </c>
      <c r="B67" s="12">
        <v>45474</v>
      </c>
      <c r="C67" s="11" t="s">
        <v>68</v>
      </c>
      <c r="D67" s="10">
        <f t="shared" si="2"/>
        <v>1</v>
      </c>
      <c r="E67" s="10" t="str">
        <f t="shared" ref="E67:E130" si="3">IF(C67="Yes","Present","Absent")</f>
        <v>Present</v>
      </c>
    </row>
    <row r="68" spans="1:5" ht="15.75" customHeight="1" x14ac:dyDescent="0.3">
      <c r="A68" s="11" t="s">
        <v>25</v>
      </c>
      <c r="B68" s="12">
        <v>45475</v>
      </c>
      <c r="C68" s="10" t="s">
        <v>69</v>
      </c>
      <c r="D68" s="10">
        <f t="shared" si="2"/>
        <v>0</v>
      </c>
      <c r="E68" s="10" t="str">
        <f t="shared" si="3"/>
        <v>Absent</v>
      </c>
    </row>
    <row r="69" spans="1:5" ht="15.75" customHeight="1" x14ac:dyDescent="0.3">
      <c r="A69" s="11" t="s">
        <v>25</v>
      </c>
      <c r="B69" s="12">
        <v>45476</v>
      </c>
      <c r="C69" s="10" t="s">
        <v>68</v>
      </c>
      <c r="D69" s="10">
        <f t="shared" si="2"/>
        <v>1</v>
      </c>
      <c r="E69" s="10" t="str">
        <f t="shared" si="3"/>
        <v>Present</v>
      </c>
    </row>
    <row r="70" spans="1:5" ht="15.75" customHeight="1" x14ac:dyDescent="0.3">
      <c r="A70" s="11" t="s">
        <v>25</v>
      </c>
      <c r="B70" s="12">
        <v>45477</v>
      </c>
      <c r="C70" s="10" t="s">
        <v>69</v>
      </c>
      <c r="D70" s="10">
        <f t="shared" si="2"/>
        <v>0</v>
      </c>
      <c r="E70" s="10" t="str">
        <f t="shared" si="3"/>
        <v>Absent</v>
      </c>
    </row>
    <row r="71" spans="1:5" ht="15.75" customHeight="1" x14ac:dyDescent="0.3">
      <c r="A71" s="11" t="s">
        <v>25</v>
      </c>
      <c r="B71" s="12">
        <v>45478</v>
      </c>
      <c r="C71" s="10" t="s">
        <v>68</v>
      </c>
      <c r="D71" s="10">
        <f t="shared" si="2"/>
        <v>1</v>
      </c>
      <c r="E71" s="10" t="str">
        <f t="shared" si="3"/>
        <v>Present</v>
      </c>
    </row>
    <row r="72" spans="1:5" ht="15.75" customHeight="1" x14ac:dyDescent="0.3">
      <c r="A72" s="11" t="s">
        <v>26</v>
      </c>
      <c r="B72" s="12">
        <v>45474</v>
      </c>
      <c r="C72" s="11" t="s">
        <v>69</v>
      </c>
      <c r="D72" s="10">
        <f t="shared" si="2"/>
        <v>0</v>
      </c>
      <c r="E72" s="10" t="str">
        <f t="shared" si="3"/>
        <v>Absent</v>
      </c>
    </row>
    <row r="73" spans="1:5" ht="15.75" customHeight="1" x14ac:dyDescent="0.3">
      <c r="A73" s="11" t="s">
        <v>26</v>
      </c>
      <c r="B73" s="12">
        <v>45475</v>
      </c>
      <c r="C73" s="10" t="s">
        <v>68</v>
      </c>
      <c r="D73" s="10">
        <f t="shared" si="2"/>
        <v>1</v>
      </c>
      <c r="E73" s="10" t="str">
        <f t="shared" si="3"/>
        <v>Present</v>
      </c>
    </row>
    <row r="74" spans="1:5" ht="15.75" customHeight="1" x14ac:dyDescent="0.3">
      <c r="A74" s="11" t="s">
        <v>26</v>
      </c>
      <c r="B74" s="12">
        <v>45476</v>
      </c>
      <c r="C74" s="10" t="s">
        <v>69</v>
      </c>
      <c r="D74" s="10">
        <f t="shared" si="2"/>
        <v>0</v>
      </c>
      <c r="E74" s="10" t="str">
        <f t="shared" si="3"/>
        <v>Absent</v>
      </c>
    </row>
    <row r="75" spans="1:5" ht="15.75" customHeight="1" x14ac:dyDescent="0.3">
      <c r="A75" s="11" t="s">
        <v>26</v>
      </c>
      <c r="B75" s="12">
        <v>45477</v>
      </c>
      <c r="C75" s="10" t="s">
        <v>69</v>
      </c>
      <c r="D75" s="10">
        <f t="shared" si="2"/>
        <v>0</v>
      </c>
      <c r="E75" s="10" t="str">
        <f t="shared" si="3"/>
        <v>Absent</v>
      </c>
    </row>
    <row r="76" spans="1:5" ht="15.75" customHeight="1" x14ac:dyDescent="0.3">
      <c r="A76" s="11" t="s">
        <v>26</v>
      </c>
      <c r="B76" s="12">
        <v>45478</v>
      </c>
      <c r="C76" s="10" t="s">
        <v>69</v>
      </c>
      <c r="D76" s="10">
        <f t="shared" si="2"/>
        <v>0</v>
      </c>
      <c r="E76" s="10" t="str">
        <f t="shared" si="3"/>
        <v>Absent</v>
      </c>
    </row>
    <row r="77" spans="1:5" ht="15.75" customHeight="1" x14ac:dyDescent="0.3">
      <c r="A77" s="11" t="s">
        <v>27</v>
      </c>
      <c r="B77" s="12">
        <v>45474</v>
      </c>
      <c r="C77" s="11" t="s">
        <v>68</v>
      </c>
      <c r="D77" s="10">
        <f t="shared" si="2"/>
        <v>1</v>
      </c>
      <c r="E77" s="10" t="str">
        <f t="shared" si="3"/>
        <v>Present</v>
      </c>
    </row>
    <row r="78" spans="1:5" ht="15.75" customHeight="1" x14ac:dyDescent="0.3">
      <c r="A78" s="11" t="s">
        <v>27</v>
      </c>
      <c r="B78" s="12">
        <v>45475</v>
      </c>
      <c r="C78" s="10" t="s">
        <v>68</v>
      </c>
      <c r="D78" s="10">
        <f t="shared" si="2"/>
        <v>1</v>
      </c>
      <c r="E78" s="10" t="str">
        <f t="shared" si="3"/>
        <v>Present</v>
      </c>
    </row>
    <row r="79" spans="1:5" ht="15.75" customHeight="1" x14ac:dyDescent="0.3">
      <c r="A79" s="11" t="s">
        <v>27</v>
      </c>
      <c r="B79" s="12">
        <v>45476</v>
      </c>
      <c r="C79" s="10" t="s">
        <v>69</v>
      </c>
      <c r="D79" s="10">
        <f t="shared" si="2"/>
        <v>0</v>
      </c>
      <c r="E79" s="10" t="str">
        <f t="shared" si="3"/>
        <v>Absent</v>
      </c>
    </row>
    <row r="80" spans="1:5" ht="15.75" customHeight="1" x14ac:dyDescent="0.3">
      <c r="A80" s="11" t="s">
        <v>27</v>
      </c>
      <c r="B80" s="12">
        <v>45477</v>
      </c>
      <c r="C80" s="10" t="s">
        <v>68</v>
      </c>
      <c r="D80" s="10">
        <f t="shared" si="2"/>
        <v>1</v>
      </c>
      <c r="E80" s="10" t="str">
        <f t="shared" si="3"/>
        <v>Present</v>
      </c>
    </row>
    <row r="81" spans="1:5" ht="15.75" customHeight="1" x14ac:dyDescent="0.3">
      <c r="A81" s="11" t="s">
        <v>27</v>
      </c>
      <c r="B81" s="12">
        <v>45478</v>
      </c>
      <c r="C81" s="10" t="s">
        <v>69</v>
      </c>
      <c r="D81" s="10">
        <f t="shared" si="2"/>
        <v>0</v>
      </c>
      <c r="E81" s="10" t="str">
        <f t="shared" si="3"/>
        <v>Absent</v>
      </c>
    </row>
    <row r="82" spans="1:5" ht="15.75" customHeight="1" x14ac:dyDescent="0.3">
      <c r="A82" s="11" t="s">
        <v>28</v>
      </c>
      <c r="B82" s="12">
        <v>45474</v>
      </c>
      <c r="C82" s="11" t="s">
        <v>69</v>
      </c>
      <c r="D82" s="10">
        <f t="shared" si="2"/>
        <v>0</v>
      </c>
      <c r="E82" s="10" t="str">
        <f t="shared" si="3"/>
        <v>Absent</v>
      </c>
    </row>
    <row r="83" spans="1:5" ht="15.75" customHeight="1" x14ac:dyDescent="0.3">
      <c r="A83" s="11" t="s">
        <v>28</v>
      </c>
      <c r="B83" s="12">
        <v>45475</v>
      </c>
      <c r="C83" s="10" t="s">
        <v>68</v>
      </c>
      <c r="D83" s="10">
        <f t="shared" si="2"/>
        <v>1</v>
      </c>
      <c r="E83" s="10" t="str">
        <f t="shared" si="3"/>
        <v>Present</v>
      </c>
    </row>
    <row r="84" spans="1:5" ht="15.75" customHeight="1" x14ac:dyDescent="0.3">
      <c r="A84" s="11" t="s">
        <v>28</v>
      </c>
      <c r="B84" s="12">
        <v>45476</v>
      </c>
      <c r="C84" s="10" t="s">
        <v>68</v>
      </c>
      <c r="D84" s="10">
        <f t="shared" si="2"/>
        <v>1</v>
      </c>
      <c r="E84" s="10" t="str">
        <f t="shared" si="3"/>
        <v>Present</v>
      </c>
    </row>
    <row r="85" spans="1:5" ht="15.75" customHeight="1" x14ac:dyDescent="0.3">
      <c r="A85" s="11" t="s">
        <v>28</v>
      </c>
      <c r="B85" s="12">
        <v>45477</v>
      </c>
      <c r="C85" s="10" t="s">
        <v>69</v>
      </c>
      <c r="D85" s="10">
        <f t="shared" si="2"/>
        <v>0</v>
      </c>
      <c r="E85" s="10" t="str">
        <f t="shared" si="3"/>
        <v>Absent</v>
      </c>
    </row>
    <row r="86" spans="1:5" ht="15.75" customHeight="1" x14ac:dyDescent="0.3">
      <c r="A86" s="11" t="s">
        <v>28</v>
      </c>
      <c r="B86" s="12">
        <v>45478</v>
      </c>
      <c r="C86" s="10" t="s">
        <v>69</v>
      </c>
      <c r="D86" s="10">
        <f t="shared" si="2"/>
        <v>0</v>
      </c>
      <c r="E86" s="10" t="str">
        <f t="shared" si="3"/>
        <v>Absent</v>
      </c>
    </row>
    <row r="87" spans="1:5" ht="15.75" customHeight="1" x14ac:dyDescent="0.3">
      <c r="A87" s="11" t="s">
        <v>29</v>
      </c>
      <c r="B87" s="12">
        <v>45474</v>
      </c>
      <c r="C87" s="11" t="s">
        <v>68</v>
      </c>
      <c r="D87" s="10">
        <f t="shared" si="2"/>
        <v>1</v>
      </c>
      <c r="E87" s="10" t="str">
        <f t="shared" si="3"/>
        <v>Present</v>
      </c>
    </row>
    <row r="88" spans="1:5" ht="15.75" customHeight="1" x14ac:dyDescent="0.3">
      <c r="A88" s="11" t="s">
        <v>29</v>
      </c>
      <c r="B88" s="12">
        <v>45475</v>
      </c>
      <c r="C88" s="10" t="s">
        <v>69</v>
      </c>
      <c r="D88" s="10">
        <f t="shared" si="2"/>
        <v>0</v>
      </c>
      <c r="E88" s="10" t="str">
        <f t="shared" si="3"/>
        <v>Absent</v>
      </c>
    </row>
    <row r="89" spans="1:5" ht="15.75" customHeight="1" x14ac:dyDescent="0.3">
      <c r="A89" s="11" t="s">
        <v>29</v>
      </c>
      <c r="B89" s="12">
        <v>45476</v>
      </c>
      <c r="C89" s="10" t="s">
        <v>69</v>
      </c>
      <c r="D89" s="10">
        <f t="shared" si="2"/>
        <v>0</v>
      </c>
      <c r="E89" s="10" t="str">
        <f t="shared" si="3"/>
        <v>Absent</v>
      </c>
    </row>
    <row r="90" spans="1:5" ht="15.75" customHeight="1" x14ac:dyDescent="0.3">
      <c r="A90" s="11" t="s">
        <v>29</v>
      </c>
      <c r="B90" s="12">
        <v>45477</v>
      </c>
      <c r="C90" s="10" t="s">
        <v>68</v>
      </c>
      <c r="D90" s="10">
        <f t="shared" si="2"/>
        <v>1</v>
      </c>
      <c r="E90" s="10" t="str">
        <f t="shared" si="3"/>
        <v>Present</v>
      </c>
    </row>
    <row r="91" spans="1:5" ht="15.75" customHeight="1" x14ac:dyDescent="0.3">
      <c r="A91" s="11" t="s">
        <v>29</v>
      </c>
      <c r="B91" s="12">
        <v>45478</v>
      </c>
      <c r="C91" s="10" t="s">
        <v>69</v>
      </c>
      <c r="D91" s="10">
        <f t="shared" si="2"/>
        <v>0</v>
      </c>
      <c r="E91" s="10" t="str">
        <f t="shared" si="3"/>
        <v>Absent</v>
      </c>
    </row>
    <row r="92" spans="1:5" ht="15.75" customHeight="1" x14ac:dyDescent="0.3">
      <c r="A92" s="11" t="s">
        <v>30</v>
      </c>
      <c r="B92" s="12">
        <v>45474</v>
      </c>
      <c r="C92" s="11" t="s">
        <v>69</v>
      </c>
      <c r="D92" s="10">
        <f t="shared" si="2"/>
        <v>0</v>
      </c>
      <c r="E92" s="10" t="str">
        <f t="shared" si="3"/>
        <v>Absent</v>
      </c>
    </row>
    <row r="93" spans="1:5" ht="15.75" customHeight="1" x14ac:dyDescent="0.3">
      <c r="A93" s="11" t="s">
        <v>30</v>
      </c>
      <c r="B93" s="12">
        <v>45475</v>
      </c>
      <c r="C93" s="10" t="s">
        <v>68</v>
      </c>
      <c r="D93" s="10">
        <f t="shared" si="2"/>
        <v>1</v>
      </c>
      <c r="E93" s="10" t="str">
        <f t="shared" si="3"/>
        <v>Present</v>
      </c>
    </row>
    <row r="94" spans="1:5" ht="15.75" customHeight="1" x14ac:dyDescent="0.3">
      <c r="A94" s="11" t="s">
        <v>30</v>
      </c>
      <c r="B94" s="12">
        <v>45476</v>
      </c>
      <c r="C94" s="10" t="s">
        <v>69</v>
      </c>
      <c r="D94" s="10">
        <f t="shared" si="2"/>
        <v>0</v>
      </c>
      <c r="E94" s="10" t="str">
        <f t="shared" si="3"/>
        <v>Absent</v>
      </c>
    </row>
    <row r="95" spans="1:5" ht="15.75" customHeight="1" x14ac:dyDescent="0.3">
      <c r="A95" s="11" t="s">
        <v>30</v>
      </c>
      <c r="B95" s="12">
        <v>45477</v>
      </c>
      <c r="C95" s="10" t="s">
        <v>69</v>
      </c>
      <c r="D95" s="10">
        <f t="shared" si="2"/>
        <v>0</v>
      </c>
      <c r="E95" s="10" t="str">
        <f t="shared" si="3"/>
        <v>Absent</v>
      </c>
    </row>
    <row r="96" spans="1:5" ht="15.75" customHeight="1" x14ac:dyDescent="0.3">
      <c r="A96" s="11" t="s">
        <v>30</v>
      </c>
      <c r="B96" s="12">
        <v>45478</v>
      </c>
      <c r="C96" s="10" t="s">
        <v>68</v>
      </c>
      <c r="D96" s="10">
        <f t="shared" si="2"/>
        <v>1</v>
      </c>
      <c r="E96" s="10" t="str">
        <f t="shared" si="3"/>
        <v>Present</v>
      </c>
    </row>
    <row r="97" spans="1:5" ht="15.75" customHeight="1" x14ac:dyDescent="0.3">
      <c r="A97" s="11" t="s">
        <v>31</v>
      </c>
      <c r="B97" s="12">
        <v>45474</v>
      </c>
      <c r="C97" s="11" t="s">
        <v>68</v>
      </c>
      <c r="D97" s="10">
        <f t="shared" si="2"/>
        <v>1</v>
      </c>
      <c r="E97" s="10" t="str">
        <f t="shared" si="3"/>
        <v>Present</v>
      </c>
    </row>
    <row r="98" spans="1:5" ht="15.75" customHeight="1" x14ac:dyDescent="0.3">
      <c r="A98" s="11" t="s">
        <v>31</v>
      </c>
      <c r="B98" s="12">
        <v>45475</v>
      </c>
      <c r="C98" s="10" t="s">
        <v>68</v>
      </c>
      <c r="D98" s="10">
        <f t="shared" si="2"/>
        <v>1</v>
      </c>
      <c r="E98" s="10" t="str">
        <f t="shared" si="3"/>
        <v>Present</v>
      </c>
    </row>
    <row r="99" spans="1:5" ht="15.75" customHeight="1" x14ac:dyDescent="0.3">
      <c r="A99" s="11" t="s">
        <v>31</v>
      </c>
      <c r="B99" s="12">
        <v>45476</v>
      </c>
      <c r="C99" s="10" t="s">
        <v>69</v>
      </c>
      <c r="D99" s="10">
        <f t="shared" si="2"/>
        <v>0</v>
      </c>
      <c r="E99" s="10" t="str">
        <f t="shared" si="3"/>
        <v>Absent</v>
      </c>
    </row>
    <row r="100" spans="1:5" ht="15.75" customHeight="1" x14ac:dyDescent="0.3">
      <c r="A100" s="11" t="s">
        <v>31</v>
      </c>
      <c r="B100" s="12">
        <v>45477</v>
      </c>
      <c r="C100" s="10" t="s">
        <v>68</v>
      </c>
      <c r="D100" s="10">
        <f t="shared" si="2"/>
        <v>1</v>
      </c>
      <c r="E100" s="10" t="str">
        <f t="shared" si="3"/>
        <v>Present</v>
      </c>
    </row>
    <row r="101" spans="1:5" ht="15.75" customHeight="1" x14ac:dyDescent="0.3">
      <c r="A101" s="11" t="s">
        <v>31</v>
      </c>
      <c r="B101" s="12">
        <v>45478</v>
      </c>
      <c r="C101" s="10" t="s">
        <v>68</v>
      </c>
      <c r="D101" s="10">
        <f t="shared" si="2"/>
        <v>1</v>
      </c>
      <c r="E101" s="10" t="str">
        <f t="shared" si="3"/>
        <v>Present</v>
      </c>
    </row>
    <row r="102" spans="1:5" ht="15.75" customHeight="1" x14ac:dyDescent="0.3">
      <c r="A102" s="11" t="s">
        <v>32</v>
      </c>
      <c r="B102" s="12">
        <v>45474</v>
      </c>
      <c r="C102" s="11" t="s">
        <v>69</v>
      </c>
      <c r="D102" s="10">
        <f t="shared" si="2"/>
        <v>0</v>
      </c>
      <c r="E102" s="10" t="str">
        <f t="shared" si="3"/>
        <v>Absent</v>
      </c>
    </row>
    <row r="103" spans="1:5" ht="15.75" customHeight="1" x14ac:dyDescent="0.3">
      <c r="A103" s="11" t="s">
        <v>32</v>
      </c>
      <c r="B103" s="12">
        <v>45475</v>
      </c>
      <c r="C103" s="10" t="s">
        <v>69</v>
      </c>
      <c r="D103" s="10">
        <f t="shared" si="2"/>
        <v>0</v>
      </c>
      <c r="E103" s="10" t="str">
        <f t="shared" si="3"/>
        <v>Absent</v>
      </c>
    </row>
    <row r="104" spans="1:5" ht="15.75" customHeight="1" x14ac:dyDescent="0.3">
      <c r="A104" s="11" t="s">
        <v>32</v>
      </c>
      <c r="B104" s="12">
        <v>45476</v>
      </c>
      <c r="C104" s="10" t="s">
        <v>69</v>
      </c>
      <c r="D104" s="10">
        <f t="shared" si="2"/>
        <v>0</v>
      </c>
      <c r="E104" s="10" t="str">
        <f t="shared" si="3"/>
        <v>Absent</v>
      </c>
    </row>
    <row r="105" spans="1:5" ht="15.75" customHeight="1" x14ac:dyDescent="0.3">
      <c r="A105" s="11" t="s">
        <v>32</v>
      </c>
      <c r="B105" s="12">
        <v>45477</v>
      </c>
      <c r="C105" s="10" t="s">
        <v>69</v>
      </c>
      <c r="D105" s="10">
        <f t="shared" si="2"/>
        <v>0</v>
      </c>
      <c r="E105" s="10" t="str">
        <f t="shared" si="3"/>
        <v>Absent</v>
      </c>
    </row>
    <row r="106" spans="1:5" ht="15.75" customHeight="1" x14ac:dyDescent="0.3">
      <c r="A106" s="11" t="s">
        <v>32</v>
      </c>
      <c r="B106" s="12">
        <v>45478</v>
      </c>
      <c r="C106" s="10" t="s">
        <v>69</v>
      </c>
      <c r="D106" s="10">
        <f t="shared" si="2"/>
        <v>0</v>
      </c>
      <c r="E106" s="10" t="str">
        <f t="shared" si="3"/>
        <v>Absent</v>
      </c>
    </row>
    <row r="107" spans="1:5" ht="15.75" customHeight="1" x14ac:dyDescent="0.3">
      <c r="A107" s="11" t="s">
        <v>33</v>
      </c>
      <c r="B107" s="12">
        <v>45474</v>
      </c>
      <c r="C107" s="11" t="s">
        <v>68</v>
      </c>
      <c r="D107" s="10">
        <f t="shared" si="2"/>
        <v>1</v>
      </c>
      <c r="E107" s="10" t="str">
        <f t="shared" si="3"/>
        <v>Present</v>
      </c>
    </row>
    <row r="108" spans="1:5" ht="15.75" customHeight="1" x14ac:dyDescent="0.3">
      <c r="A108" s="11" t="s">
        <v>33</v>
      </c>
      <c r="B108" s="12">
        <v>45475</v>
      </c>
      <c r="C108" s="10" t="s">
        <v>69</v>
      </c>
      <c r="D108" s="10">
        <f t="shared" si="2"/>
        <v>0</v>
      </c>
      <c r="E108" s="10" t="str">
        <f t="shared" si="3"/>
        <v>Absent</v>
      </c>
    </row>
    <row r="109" spans="1:5" ht="15.75" customHeight="1" x14ac:dyDescent="0.3">
      <c r="A109" s="11" t="s">
        <v>33</v>
      </c>
      <c r="B109" s="12">
        <v>45476</v>
      </c>
      <c r="C109" s="10" t="s">
        <v>69</v>
      </c>
      <c r="D109" s="10">
        <f t="shared" si="2"/>
        <v>0</v>
      </c>
      <c r="E109" s="10" t="str">
        <f t="shared" si="3"/>
        <v>Absent</v>
      </c>
    </row>
    <row r="110" spans="1:5" ht="15.75" customHeight="1" x14ac:dyDescent="0.3">
      <c r="A110" s="11" t="s">
        <v>33</v>
      </c>
      <c r="B110" s="12">
        <v>45477</v>
      </c>
      <c r="C110" s="10" t="s">
        <v>68</v>
      </c>
      <c r="D110" s="10">
        <f t="shared" si="2"/>
        <v>1</v>
      </c>
      <c r="E110" s="10" t="str">
        <f t="shared" si="3"/>
        <v>Present</v>
      </c>
    </row>
    <row r="111" spans="1:5" ht="15.75" customHeight="1" x14ac:dyDescent="0.3">
      <c r="A111" s="11" t="s">
        <v>33</v>
      </c>
      <c r="B111" s="12">
        <v>45478</v>
      </c>
      <c r="C111" s="10" t="s">
        <v>68</v>
      </c>
      <c r="D111" s="10">
        <f t="shared" si="2"/>
        <v>1</v>
      </c>
      <c r="E111" s="10" t="str">
        <f t="shared" si="3"/>
        <v>Present</v>
      </c>
    </row>
    <row r="112" spans="1:5" ht="15.75" customHeight="1" x14ac:dyDescent="0.3">
      <c r="A112" s="11" t="s">
        <v>7</v>
      </c>
      <c r="B112" s="12">
        <v>45474</v>
      </c>
      <c r="C112" s="11" t="s">
        <v>68</v>
      </c>
      <c r="D112" s="10">
        <f t="shared" si="2"/>
        <v>1</v>
      </c>
      <c r="E112" s="10" t="str">
        <f t="shared" si="3"/>
        <v>Present</v>
      </c>
    </row>
    <row r="113" spans="1:5" ht="15.75" customHeight="1" x14ac:dyDescent="0.3">
      <c r="A113" s="11" t="s">
        <v>7</v>
      </c>
      <c r="B113" s="12">
        <v>45475</v>
      </c>
      <c r="C113" s="10" t="s">
        <v>69</v>
      </c>
      <c r="D113" s="10">
        <f t="shared" si="2"/>
        <v>0</v>
      </c>
      <c r="E113" s="10" t="str">
        <f t="shared" si="3"/>
        <v>Absent</v>
      </c>
    </row>
    <row r="114" spans="1:5" ht="15.75" customHeight="1" x14ac:dyDescent="0.3">
      <c r="A114" s="11" t="s">
        <v>7</v>
      </c>
      <c r="B114" s="12">
        <v>45476</v>
      </c>
      <c r="C114" s="10" t="s">
        <v>68</v>
      </c>
      <c r="D114" s="10">
        <f t="shared" si="2"/>
        <v>1</v>
      </c>
      <c r="E114" s="10" t="str">
        <f t="shared" si="3"/>
        <v>Present</v>
      </c>
    </row>
    <row r="115" spans="1:5" ht="15.75" customHeight="1" x14ac:dyDescent="0.3">
      <c r="A115" s="11" t="s">
        <v>7</v>
      </c>
      <c r="B115" s="12">
        <v>45477</v>
      </c>
      <c r="C115" s="10" t="s">
        <v>69</v>
      </c>
      <c r="D115" s="10">
        <f t="shared" si="2"/>
        <v>0</v>
      </c>
      <c r="E115" s="10" t="str">
        <f t="shared" si="3"/>
        <v>Absent</v>
      </c>
    </row>
    <row r="116" spans="1:5" ht="15.75" customHeight="1" x14ac:dyDescent="0.3">
      <c r="A116" s="11" t="s">
        <v>7</v>
      </c>
      <c r="B116" s="12">
        <v>45478</v>
      </c>
      <c r="C116" s="10" t="s">
        <v>69</v>
      </c>
      <c r="D116" s="10">
        <f t="shared" si="2"/>
        <v>0</v>
      </c>
      <c r="E116" s="10" t="str">
        <f t="shared" si="3"/>
        <v>Absent</v>
      </c>
    </row>
    <row r="117" spans="1:5" ht="15.75" customHeight="1" x14ac:dyDescent="0.3">
      <c r="A117" s="11" t="s">
        <v>34</v>
      </c>
      <c r="B117" s="12">
        <v>45474</v>
      </c>
      <c r="C117" s="11" t="s">
        <v>69</v>
      </c>
      <c r="D117" s="10">
        <f t="shared" si="2"/>
        <v>0</v>
      </c>
      <c r="E117" s="10" t="str">
        <f t="shared" si="3"/>
        <v>Absent</v>
      </c>
    </row>
    <row r="118" spans="1:5" ht="15.75" customHeight="1" x14ac:dyDescent="0.3">
      <c r="A118" s="11" t="s">
        <v>34</v>
      </c>
      <c r="B118" s="12">
        <v>45475</v>
      </c>
      <c r="C118" s="10" t="s">
        <v>68</v>
      </c>
      <c r="D118" s="10">
        <f t="shared" si="2"/>
        <v>1</v>
      </c>
      <c r="E118" s="10" t="str">
        <f t="shared" si="3"/>
        <v>Present</v>
      </c>
    </row>
    <row r="119" spans="1:5" ht="15.75" customHeight="1" x14ac:dyDescent="0.3">
      <c r="A119" s="11" t="s">
        <v>34</v>
      </c>
      <c r="B119" s="12">
        <v>45476</v>
      </c>
      <c r="C119" s="10" t="s">
        <v>68</v>
      </c>
      <c r="D119" s="10">
        <f t="shared" si="2"/>
        <v>1</v>
      </c>
      <c r="E119" s="10" t="str">
        <f t="shared" si="3"/>
        <v>Present</v>
      </c>
    </row>
    <row r="120" spans="1:5" ht="15.75" customHeight="1" x14ac:dyDescent="0.3">
      <c r="A120" s="11" t="s">
        <v>34</v>
      </c>
      <c r="B120" s="12">
        <v>45477</v>
      </c>
      <c r="C120" s="10" t="s">
        <v>68</v>
      </c>
      <c r="D120" s="10">
        <f t="shared" si="2"/>
        <v>1</v>
      </c>
      <c r="E120" s="10" t="str">
        <f t="shared" si="3"/>
        <v>Present</v>
      </c>
    </row>
    <row r="121" spans="1:5" ht="15.75" customHeight="1" x14ac:dyDescent="0.3">
      <c r="A121" s="11" t="s">
        <v>34</v>
      </c>
      <c r="B121" s="12">
        <v>45478</v>
      </c>
      <c r="C121" s="10" t="s">
        <v>68</v>
      </c>
      <c r="D121" s="10">
        <f t="shared" si="2"/>
        <v>1</v>
      </c>
      <c r="E121" s="10" t="str">
        <f t="shared" si="3"/>
        <v>Present</v>
      </c>
    </row>
    <row r="122" spans="1:5" ht="15.75" customHeight="1" x14ac:dyDescent="0.3">
      <c r="A122" s="11" t="s">
        <v>35</v>
      </c>
      <c r="B122" s="12">
        <v>45474</v>
      </c>
      <c r="C122" s="11" t="s">
        <v>68</v>
      </c>
      <c r="D122" s="10">
        <f t="shared" si="2"/>
        <v>1</v>
      </c>
      <c r="E122" s="10" t="str">
        <f t="shared" si="3"/>
        <v>Present</v>
      </c>
    </row>
    <row r="123" spans="1:5" ht="15.75" customHeight="1" x14ac:dyDescent="0.3">
      <c r="A123" s="11" t="s">
        <v>35</v>
      </c>
      <c r="B123" s="12">
        <v>45475</v>
      </c>
      <c r="C123" s="10" t="s">
        <v>69</v>
      </c>
      <c r="D123" s="10">
        <f t="shared" si="2"/>
        <v>0</v>
      </c>
      <c r="E123" s="10" t="str">
        <f t="shared" si="3"/>
        <v>Absent</v>
      </c>
    </row>
    <row r="124" spans="1:5" ht="15.75" customHeight="1" x14ac:dyDescent="0.3">
      <c r="A124" s="11" t="s">
        <v>35</v>
      </c>
      <c r="B124" s="12">
        <v>45476</v>
      </c>
      <c r="C124" s="10" t="s">
        <v>69</v>
      </c>
      <c r="D124" s="10">
        <f t="shared" si="2"/>
        <v>0</v>
      </c>
      <c r="E124" s="10" t="str">
        <f t="shared" si="3"/>
        <v>Absent</v>
      </c>
    </row>
    <row r="125" spans="1:5" ht="15.75" customHeight="1" x14ac:dyDescent="0.3">
      <c r="A125" s="11" t="s">
        <v>35</v>
      </c>
      <c r="B125" s="12">
        <v>45477</v>
      </c>
      <c r="C125" s="10" t="s">
        <v>68</v>
      </c>
      <c r="D125" s="10">
        <f t="shared" si="2"/>
        <v>1</v>
      </c>
      <c r="E125" s="10" t="str">
        <f t="shared" si="3"/>
        <v>Present</v>
      </c>
    </row>
    <row r="126" spans="1:5" ht="15.75" customHeight="1" x14ac:dyDescent="0.3">
      <c r="A126" s="11" t="s">
        <v>35</v>
      </c>
      <c r="B126" s="12">
        <v>45478</v>
      </c>
      <c r="C126" s="10" t="s">
        <v>69</v>
      </c>
      <c r="D126" s="10">
        <f t="shared" si="2"/>
        <v>0</v>
      </c>
      <c r="E126" s="10" t="str">
        <f t="shared" si="3"/>
        <v>Absent</v>
      </c>
    </row>
    <row r="127" spans="1:5" ht="15.75" customHeight="1" x14ac:dyDescent="0.3">
      <c r="A127" s="11" t="s">
        <v>36</v>
      </c>
      <c r="B127" s="12">
        <v>45474</v>
      </c>
      <c r="C127" s="11" t="s">
        <v>69</v>
      </c>
      <c r="D127" s="10">
        <f t="shared" si="2"/>
        <v>0</v>
      </c>
      <c r="E127" s="10" t="str">
        <f t="shared" si="3"/>
        <v>Absent</v>
      </c>
    </row>
    <row r="128" spans="1:5" ht="15.75" customHeight="1" x14ac:dyDescent="0.3">
      <c r="A128" s="11" t="s">
        <v>36</v>
      </c>
      <c r="B128" s="12">
        <v>45475</v>
      </c>
      <c r="C128" s="10" t="s">
        <v>69</v>
      </c>
      <c r="D128" s="10">
        <f t="shared" si="2"/>
        <v>0</v>
      </c>
      <c r="E128" s="10" t="str">
        <f t="shared" si="3"/>
        <v>Absent</v>
      </c>
    </row>
    <row r="129" spans="1:5" ht="15.75" customHeight="1" x14ac:dyDescent="0.3">
      <c r="A129" s="11" t="s">
        <v>36</v>
      </c>
      <c r="B129" s="12">
        <v>45476</v>
      </c>
      <c r="C129" s="10" t="s">
        <v>69</v>
      </c>
      <c r="D129" s="10">
        <f t="shared" si="2"/>
        <v>0</v>
      </c>
      <c r="E129" s="10" t="str">
        <f t="shared" si="3"/>
        <v>Absent</v>
      </c>
    </row>
    <row r="130" spans="1:5" ht="15.75" customHeight="1" x14ac:dyDescent="0.3">
      <c r="A130" s="11" t="s">
        <v>36</v>
      </c>
      <c r="B130" s="12">
        <v>45477</v>
      </c>
      <c r="C130" s="10" t="s">
        <v>68</v>
      </c>
      <c r="D130" s="10">
        <f t="shared" ref="D130:D193" si="4">IF($C130="Yes",1,0)</f>
        <v>1</v>
      </c>
      <c r="E130" s="10" t="str">
        <f t="shared" si="3"/>
        <v>Present</v>
      </c>
    </row>
    <row r="131" spans="1:5" ht="15.75" customHeight="1" x14ac:dyDescent="0.3">
      <c r="A131" s="11" t="s">
        <v>36</v>
      </c>
      <c r="B131" s="12">
        <v>45478</v>
      </c>
      <c r="C131" s="10" t="s">
        <v>68</v>
      </c>
      <c r="D131" s="10">
        <f t="shared" si="4"/>
        <v>1</v>
      </c>
      <c r="E131" s="10" t="str">
        <f t="shared" ref="E131:E194" si="5">IF(C131="Yes","Present","Absent")</f>
        <v>Present</v>
      </c>
    </row>
    <row r="132" spans="1:5" ht="15.75" customHeight="1" x14ac:dyDescent="0.3">
      <c r="A132" s="11" t="s">
        <v>37</v>
      </c>
      <c r="B132" s="12">
        <v>45474</v>
      </c>
      <c r="C132" s="11" t="s">
        <v>68</v>
      </c>
      <c r="D132" s="10">
        <f t="shared" si="4"/>
        <v>1</v>
      </c>
      <c r="E132" s="10" t="str">
        <f t="shared" si="5"/>
        <v>Present</v>
      </c>
    </row>
    <row r="133" spans="1:5" ht="15.75" customHeight="1" x14ac:dyDescent="0.3">
      <c r="A133" s="11" t="s">
        <v>37</v>
      </c>
      <c r="B133" s="12">
        <v>45475</v>
      </c>
      <c r="C133" s="10" t="s">
        <v>68</v>
      </c>
      <c r="D133" s="10">
        <f t="shared" si="4"/>
        <v>1</v>
      </c>
      <c r="E133" s="10" t="str">
        <f t="shared" si="5"/>
        <v>Present</v>
      </c>
    </row>
    <row r="134" spans="1:5" ht="15.75" customHeight="1" x14ac:dyDescent="0.3">
      <c r="A134" s="11" t="s">
        <v>37</v>
      </c>
      <c r="B134" s="12">
        <v>45476</v>
      </c>
      <c r="C134" s="10" t="s">
        <v>68</v>
      </c>
      <c r="D134" s="10">
        <f t="shared" si="4"/>
        <v>1</v>
      </c>
      <c r="E134" s="10" t="str">
        <f t="shared" si="5"/>
        <v>Present</v>
      </c>
    </row>
    <row r="135" spans="1:5" ht="15.75" customHeight="1" x14ac:dyDescent="0.3">
      <c r="A135" s="11" t="s">
        <v>37</v>
      </c>
      <c r="B135" s="12">
        <v>45477</v>
      </c>
      <c r="C135" s="10" t="s">
        <v>68</v>
      </c>
      <c r="D135" s="10">
        <f t="shared" si="4"/>
        <v>1</v>
      </c>
      <c r="E135" s="10" t="str">
        <f t="shared" si="5"/>
        <v>Present</v>
      </c>
    </row>
    <row r="136" spans="1:5" ht="15.75" customHeight="1" x14ac:dyDescent="0.3">
      <c r="A136" s="11" t="s">
        <v>37</v>
      </c>
      <c r="B136" s="12">
        <v>45478</v>
      </c>
      <c r="C136" s="10" t="s">
        <v>68</v>
      </c>
      <c r="D136" s="10">
        <f t="shared" si="4"/>
        <v>1</v>
      </c>
      <c r="E136" s="10" t="str">
        <f t="shared" si="5"/>
        <v>Present</v>
      </c>
    </row>
    <row r="137" spans="1:5" ht="15.75" customHeight="1" x14ac:dyDescent="0.3">
      <c r="A137" s="11" t="s">
        <v>38</v>
      </c>
      <c r="B137" s="12">
        <v>45474</v>
      </c>
      <c r="C137" s="11" t="s">
        <v>69</v>
      </c>
      <c r="D137" s="10">
        <f t="shared" si="4"/>
        <v>0</v>
      </c>
      <c r="E137" s="10" t="str">
        <f t="shared" si="5"/>
        <v>Absent</v>
      </c>
    </row>
    <row r="138" spans="1:5" ht="15.75" customHeight="1" x14ac:dyDescent="0.3">
      <c r="A138" s="11" t="s">
        <v>38</v>
      </c>
      <c r="B138" s="12">
        <v>45475</v>
      </c>
      <c r="C138" s="10" t="s">
        <v>69</v>
      </c>
      <c r="D138" s="10">
        <f t="shared" si="4"/>
        <v>0</v>
      </c>
      <c r="E138" s="10" t="str">
        <f t="shared" si="5"/>
        <v>Absent</v>
      </c>
    </row>
    <row r="139" spans="1:5" ht="15.75" customHeight="1" x14ac:dyDescent="0.3">
      <c r="A139" s="11" t="s">
        <v>38</v>
      </c>
      <c r="B139" s="12">
        <v>45476</v>
      </c>
      <c r="C139" s="10" t="s">
        <v>68</v>
      </c>
      <c r="D139" s="10">
        <f t="shared" si="4"/>
        <v>1</v>
      </c>
      <c r="E139" s="10" t="str">
        <f t="shared" si="5"/>
        <v>Present</v>
      </c>
    </row>
    <row r="140" spans="1:5" ht="15.75" customHeight="1" x14ac:dyDescent="0.3">
      <c r="A140" s="11" t="s">
        <v>38</v>
      </c>
      <c r="B140" s="12">
        <v>45477</v>
      </c>
      <c r="C140" s="10" t="s">
        <v>68</v>
      </c>
      <c r="D140" s="10">
        <f t="shared" si="4"/>
        <v>1</v>
      </c>
      <c r="E140" s="10" t="str">
        <f t="shared" si="5"/>
        <v>Present</v>
      </c>
    </row>
    <row r="141" spans="1:5" ht="15.75" customHeight="1" x14ac:dyDescent="0.3">
      <c r="A141" s="11" t="s">
        <v>38</v>
      </c>
      <c r="B141" s="12">
        <v>45478</v>
      </c>
      <c r="C141" s="10" t="s">
        <v>69</v>
      </c>
      <c r="D141" s="10">
        <f t="shared" si="4"/>
        <v>0</v>
      </c>
      <c r="E141" s="10" t="str">
        <f t="shared" si="5"/>
        <v>Absent</v>
      </c>
    </row>
    <row r="142" spans="1:5" ht="15.75" customHeight="1" x14ac:dyDescent="0.3">
      <c r="A142" s="11" t="s">
        <v>39</v>
      </c>
      <c r="B142" s="12">
        <v>45474</v>
      </c>
      <c r="C142" s="11" t="s">
        <v>68</v>
      </c>
      <c r="D142" s="10">
        <f t="shared" si="4"/>
        <v>1</v>
      </c>
      <c r="E142" s="10" t="str">
        <f t="shared" si="5"/>
        <v>Present</v>
      </c>
    </row>
    <row r="143" spans="1:5" ht="15.75" customHeight="1" x14ac:dyDescent="0.3">
      <c r="A143" s="11" t="s">
        <v>39</v>
      </c>
      <c r="B143" s="12">
        <v>45475</v>
      </c>
      <c r="C143" s="10" t="s">
        <v>68</v>
      </c>
      <c r="D143" s="10">
        <f t="shared" si="4"/>
        <v>1</v>
      </c>
      <c r="E143" s="10" t="str">
        <f t="shared" si="5"/>
        <v>Present</v>
      </c>
    </row>
    <row r="144" spans="1:5" ht="15.75" customHeight="1" x14ac:dyDescent="0.3">
      <c r="A144" s="11" t="s">
        <v>39</v>
      </c>
      <c r="B144" s="12">
        <v>45476</v>
      </c>
      <c r="C144" s="10" t="s">
        <v>69</v>
      </c>
      <c r="D144" s="10">
        <f t="shared" si="4"/>
        <v>0</v>
      </c>
      <c r="E144" s="10" t="str">
        <f t="shared" si="5"/>
        <v>Absent</v>
      </c>
    </row>
    <row r="145" spans="1:5" ht="15.75" customHeight="1" x14ac:dyDescent="0.3">
      <c r="A145" s="11" t="s">
        <v>39</v>
      </c>
      <c r="B145" s="12">
        <v>45477</v>
      </c>
      <c r="C145" s="10" t="s">
        <v>69</v>
      </c>
      <c r="D145" s="10">
        <f t="shared" si="4"/>
        <v>0</v>
      </c>
      <c r="E145" s="10" t="str">
        <f t="shared" si="5"/>
        <v>Absent</v>
      </c>
    </row>
    <row r="146" spans="1:5" ht="15.75" customHeight="1" x14ac:dyDescent="0.3">
      <c r="A146" s="11" t="s">
        <v>39</v>
      </c>
      <c r="B146" s="12">
        <v>45478</v>
      </c>
      <c r="C146" s="10" t="s">
        <v>68</v>
      </c>
      <c r="D146" s="10">
        <f t="shared" si="4"/>
        <v>1</v>
      </c>
      <c r="E146" s="10" t="str">
        <f t="shared" si="5"/>
        <v>Present</v>
      </c>
    </row>
    <row r="147" spans="1:5" ht="15.75" customHeight="1" x14ac:dyDescent="0.3">
      <c r="A147" s="11" t="s">
        <v>40</v>
      </c>
      <c r="B147" s="12">
        <v>45474</v>
      </c>
      <c r="C147" s="11" t="s">
        <v>69</v>
      </c>
      <c r="D147" s="10">
        <f t="shared" si="4"/>
        <v>0</v>
      </c>
      <c r="E147" s="10" t="str">
        <f t="shared" si="5"/>
        <v>Absent</v>
      </c>
    </row>
    <row r="148" spans="1:5" ht="15.75" customHeight="1" x14ac:dyDescent="0.3">
      <c r="A148" s="11" t="s">
        <v>40</v>
      </c>
      <c r="B148" s="12">
        <v>45475</v>
      </c>
      <c r="C148" s="10" t="s">
        <v>68</v>
      </c>
      <c r="D148" s="10">
        <f t="shared" si="4"/>
        <v>1</v>
      </c>
      <c r="E148" s="10" t="str">
        <f t="shared" si="5"/>
        <v>Present</v>
      </c>
    </row>
    <row r="149" spans="1:5" ht="15.75" customHeight="1" x14ac:dyDescent="0.3">
      <c r="A149" s="11" t="s">
        <v>40</v>
      </c>
      <c r="B149" s="12">
        <v>45476</v>
      </c>
      <c r="C149" s="10" t="s">
        <v>68</v>
      </c>
      <c r="D149" s="10">
        <f t="shared" si="4"/>
        <v>1</v>
      </c>
      <c r="E149" s="10" t="str">
        <f t="shared" si="5"/>
        <v>Present</v>
      </c>
    </row>
    <row r="150" spans="1:5" ht="15.75" customHeight="1" x14ac:dyDescent="0.3">
      <c r="A150" s="11" t="s">
        <v>40</v>
      </c>
      <c r="B150" s="12">
        <v>45477</v>
      </c>
      <c r="C150" s="10" t="s">
        <v>68</v>
      </c>
      <c r="D150" s="10">
        <f t="shared" si="4"/>
        <v>1</v>
      </c>
      <c r="E150" s="10" t="str">
        <f t="shared" si="5"/>
        <v>Present</v>
      </c>
    </row>
    <row r="151" spans="1:5" ht="15.75" customHeight="1" x14ac:dyDescent="0.3">
      <c r="A151" s="11" t="s">
        <v>40</v>
      </c>
      <c r="B151" s="12">
        <v>45478</v>
      </c>
      <c r="C151" s="10" t="s">
        <v>69</v>
      </c>
      <c r="D151" s="10">
        <f t="shared" si="4"/>
        <v>0</v>
      </c>
      <c r="E151" s="10" t="str">
        <f t="shared" si="5"/>
        <v>Absent</v>
      </c>
    </row>
    <row r="152" spans="1:5" ht="15.75" customHeight="1" x14ac:dyDescent="0.3">
      <c r="A152" s="11" t="s">
        <v>41</v>
      </c>
      <c r="B152" s="12">
        <v>45474</v>
      </c>
      <c r="C152" s="11" t="s">
        <v>68</v>
      </c>
      <c r="D152" s="10">
        <f t="shared" si="4"/>
        <v>1</v>
      </c>
      <c r="E152" s="10" t="str">
        <f t="shared" si="5"/>
        <v>Present</v>
      </c>
    </row>
    <row r="153" spans="1:5" ht="15.75" customHeight="1" x14ac:dyDescent="0.3">
      <c r="A153" s="11" t="s">
        <v>41</v>
      </c>
      <c r="B153" s="12">
        <v>45475</v>
      </c>
      <c r="C153" s="10" t="s">
        <v>68</v>
      </c>
      <c r="D153" s="10">
        <f t="shared" si="4"/>
        <v>1</v>
      </c>
      <c r="E153" s="10" t="str">
        <f t="shared" si="5"/>
        <v>Present</v>
      </c>
    </row>
    <row r="154" spans="1:5" ht="15.75" customHeight="1" x14ac:dyDescent="0.3">
      <c r="A154" s="11" t="s">
        <v>41</v>
      </c>
      <c r="B154" s="12">
        <v>45476</v>
      </c>
      <c r="C154" s="10" t="s">
        <v>68</v>
      </c>
      <c r="D154" s="10">
        <f t="shared" si="4"/>
        <v>1</v>
      </c>
      <c r="E154" s="10" t="str">
        <f t="shared" si="5"/>
        <v>Present</v>
      </c>
    </row>
    <row r="155" spans="1:5" ht="15.75" customHeight="1" x14ac:dyDescent="0.3">
      <c r="A155" s="11" t="s">
        <v>41</v>
      </c>
      <c r="B155" s="12">
        <v>45477</v>
      </c>
      <c r="C155" s="10" t="s">
        <v>69</v>
      </c>
      <c r="D155" s="10">
        <f t="shared" si="4"/>
        <v>0</v>
      </c>
      <c r="E155" s="10" t="str">
        <f t="shared" si="5"/>
        <v>Absent</v>
      </c>
    </row>
    <row r="156" spans="1:5" ht="15.75" customHeight="1" x14ac:dyDescent="0.3">
      <c r="A156" s="11" t="s">
        <v>41</v>
      </c>
      <c r="B156" s="12">
        <v>45478</v>
      </c>
      <c r="C156" s="10" t="s">
        <v>68</v>
      </c>
      <c r="D156" s="10">
        <f t="shared" si="4"/>
        <v>1</v>
      </c>
      <c r="E156" s="10" t="str">
        <f t="shared" si="5"/>
        <v>Present</v>
      </c>
    </row>
    <row r="157" spans="1:5" ht="15.75" customHeight="1" x14ac:dyDescent="0.3">
      <c r="A157" s="11" t="s">
        <v>42</v>
      </c>
      <c r="B157" s="12">
        <v>45474</v>
      </c>
      <c r="C157" s="11" t="s">
        <v>69</v>
      </c>
      <c r="D157" s="10">
        <f t="shared" si="4"/>
        <v>0</v>
      </c>
      <c r="E157" s="10" t="str">
        <f t="shared" si="5"/>
        <v>Absent</v>
      </c>
    </row>
    <row r="158" spans="1:5" ht="15.75" customHeight="1" x14ac:dyDescent="0.3">
      <c r="A158" s="11" t="s">
        <v>42</v>
      </c>
      <c r="B158" s="12">
        <v>45475</v>
      </c>
      <c r="C158" s="10" t="s">
        <v>68</v>
      </c>
      <c r="D158" s="10">
        <f t="shared" si="4"/>
        <v>1</v>
      </c>
      <c r="E158" s="10" t="str">
        <f t="shared" si="5"/>
        <v>Present</v>
      </c>
    </row>
    <row r="159" spans="1:5" ht="15.75" customHeight="1" x14ac:dyDescent="0.3">
      <c r="A159" s="11" t="s">
        <v>42</v>
      </c>
      <c r="B159" s="12">
        <v>45476</v>
      </c>
      <c r="C159" s="10" t="s">
        <v>69</v>
      </c>
      <c r="D159" s="10">
        <f t="shared" si="4"/>
        <v>0</v>
      </c>
      <c r="E159" s="10" t="str">
        <f t="shared" si="5"/>
        <v>Absent</v>
      </c>
    </row>
    <row r="160" spans="1:5" ht="15.75" customHeight="1" x14ac:dyDescent="0.3">
      <c r="A160" s="11" t="s">
        <v>42</v>
      </c>
      <c r="B160" s="12">
        <v>45477</v>
      </c>
      <c r="C160" s="10" t="s">
        <v>68</v>
      </c>
      <c r="D160" s="10">
        <f t="shared" si="4"/>
        <v>1</v>
      </c>
      <c r="E160" s="10" t="str">
        <f t="shared" si="5"/>
        <v>Present</v>
      </c>
    </row>
    <row r="161" spans="1:5" ht="15.75" customHeight="1" x14ac:dyDescent="0.3">
      <c r="A161" s="11" t="s">
        <v>42</v>
      </c>
      <c r="B161" s="12">
        <v>45478</v>
      </c>
      <c r="C161" s="10" t="s">
        <v>68</v>
      </c>
      <c r="D161" s="10">
        <f t="shared" si="4"/>
        <v>1</v>
      </c>
      <c r="E161" s="10" t="str">
        <f t="shared" si="5"/>
        <v>Present</v>
      </c>
    </row>
    <row r="162" spans="1:5" ht="15.75" customHeight="1" x14ac:dyDescent="0.3">
      <c r="A162" s="11" t="s">
        <v>43</v>
      </c>
      <c r="B162" s="12">
        <v>45474</v>
      </c>
      <c r="C162" s="11" t="s">
        <v>68</v>
      </c>
      <c r="D162" s="10">
        <f t="shared" si="4"/>
        <v>1</v>
      </c>
      <c r="E162" s="10" t="str">
        <f t="shared" si="5"/>
        <v>Present</v>
      </c>
    </row>
    <row r="163" spans="1:5" ht="15.75" customHeight="1" x14ac:dyDescent="0.3">
      <c r="A163" s="11" t="s">
        <v>43</v>
      </c>
      <c r="B163" s="12">
        <v>45475</v>
      </c>
      <c r="C163" s="10" t="s">
        <v>68</v>
      </c>
      <c r="D163" s="10">
        <f t="shared" si="4"/>
        <v>1</v>
      </c>
      <c r="E163" s="10" t="str">
        <f t="shared" si="5"/>
        <v>Present</v>
      </c>
    </row>
    <row r="164" spans="1:5" ht="15.75" customHeight="1" x14ac:dyDescent="0.3">
      <c r="A164" s="11" t="s">
        <v>43</v>
      </c>
      <c r="B164" s="12">
        <v>45476</v>
      </c>
      <c r="C164" s="10" t="s">
        <v>68</v>
      </c>
      <c r="D164" s="10">
        <f t="shared" si="4"/>
        <v>1</v>
      </c>
      <c r="E164" s="10" t="str">
        <f t="shared" si="5"/>
        <v>Present</v>
      </c>
    </row>
    <row r="165" spans="1:5" ht="15.75" customHeight="1" x14ac:dyDescent="0.3">
      <c r="A165" s="11" t="s">
        <v>43</v>
      </c>
      <c r="B165" s="12">
        <v>45477</v>
      </c>
      <c r="C165" s="10" t="s">
        <v>69</v>
      </c>
      <c r="D165" s="10">
        <f t="shared" si="4"/>
        <v>0</v>
      </c>
      <c r="E165" s="10" t="str">
        <f t="shared" si="5"/>
        <v>Absent</v>
      </c>
    </row>
    <row r="166" spans="1:5" ht="15.75" customHeight="1" x14ac:dyDescent="0.3">
      <c r="A166" s="11" t="s">
        <v>43</v>
      </c>
      <c r="B166" s="12">
        <v>45478</v>
      </c>
      <c r="C166" s="10" t="s">
        <v>68</v>
      </c>
      <c r="D166" s="10">
        <f t="shared" si="4"/>
        <v>1</v>
      </c>
      <c r="E166" s="10" t="str">
        <f t="shared" si="5"/>
        <v>Present</v>
      </c>
    </row>
    <row r="167" spans="1:5" ht="15.75" customHeight="1" x14ac:dyDescent="0.3">
      <c r="A167" s="11" t="s">
        <v>8</v>
      </c>
      <c r="B167" s="12">
        <v>45474</v>
      </c>
      <c r="C167" s="11" t="s">
        <v>69</v>
      </c>
      <c r="D167" s="10">
        <f t="shared" si="4"/>
        <v>0</v>
      </c>
      <c r="E167" s="10" t="str">
        <f t="shared" si="5"/>
        <v>Absent</v>
      </c>
    </row>
    <row r="168" spans="1:5" ht="15.75" customHeight="1" x14ac:dyDescent="0.3">
      <c r="A168" s="11" t="s">
        <v>8</v>
      </c>
      <c r="B168" s="12">
        <v>45475</v>
      </c>
      <c r="C168" s="10" t="s">
        <v>69</v>
      </c>
      <c r="D168" s="10">
        <f t="shared" si="4"/>
        <v>0</v>
      </c>
      <c r="E168" s="10" t="str">
        <f t="shared" si="5"/>
        <v>Absent</v>
      </c>
    </row>
    <row r="169" spans="1:5" ht="15.75" customHeight="1" x14ac:dyDescent="0.3">
      <c r="A169" s="11" t="s">
        <v>8</v>
      </c>
      <c r="B169" s="12">
        <v>45476</v>
      </c>
      <c r="C169" s="10" t="s">
        <v>68</v>
      </c>
      <c r="D169" s="10">
        <f t="shared" si="4"/>
        <v>1</v>
      </c>
      <c r="E169" s="10" t="str">
        <f t="shared" si="5"/>
        <v>Present</v>
      </c>
    </row>
    <row r="170" spans="1:5" ht="15.75" customHeight="1" x14ac:dyDescent="0.3">
      <c r="A170" s="11" t="s">
        <v>8</v>
      </c>
      <c r="B170" s="12">
        <v>45477</v>
      </c>
      <c r="C170" s="10" t="s">
        <v>68</v>
      </c>
      <c r="D170" s="10">
        <f t="shared" si="4"/>
        <v>1</v>
      </c>
      <c r="E170" s="10" t="str">
        <f t="shared" si="5"/>
        <v>Present</v>
      </c>
    </row>
    <row r="171" spans="1:5" ht="15.75" customHeight="1" x14ac:dyDescent="0.3">
      <c r="A171" s="11" t="s">
        <v>8</v>
      </c>
      <c r="B171" s="12">
        <v>45478</v>
      </c>
      <c r="C171" s="10" t="s">
        <v>69</v>
      </c>
      <c r="D171" s="10">
        <f t="shared" si="4"/>
        <v>0</v>
      </c>
      <c r="E171" s="10" t="str">
        <f t="shared" si="5"/>
        <v>Absent</v>
      </c>
    </row>
    <row r="172" spans="1:5" ht="15.75" customHeight="1" x14ac:dyDescent="0.3">
      <c r="A172" s="11" t="s">
        <v>44</v>
      </c>
      <c r="B172" s="12">
        <v>45474</v>
      </c>
      <c r="C172" s="11" t="s">
        <v>69</v>
      </c>
      <c r="D172" s="10">
        <f t="shared" si="4"/>
        <v>0</v>
      </c>
      <c r="E172" s="10" t="str">
        <f t="shared" si="5"/>
        <v>Absent</v>
      </c>
    </row>
    <row r="173" spans="1:5" ht="15.75" customHeight="1" x14ac:dyDescent="0.3">
      <c r="A173" s="11" t="s">
        <v>44</v>
      </c>
      <c r="B173" s="12">
        <v>45475</v>
      </c>
      <c r="C173" s="10" t="s">
        <v>69</v>
      </c>
      <c r="D173" s="10">
        <f t="shared" si="4"/>
        <v>0</v>
      </c>
      <c r="E173" s="10" t="str">
        <f t="shared" si="5"/>
        <v>Absent</v>
      </c>
    </row>
    <row r="174" spans="1:5" ht="15.75" customHeight="1" x14ac:dyDescent="0.3">
      <c r="A174" s="11" t="s">
        <v>44</v>
      </c>
      <c r="B174" s="12">
        <v>45476</v>
      </c>
      <c r="C174" s="10" t="s">
        <v>69</v>
      </c>
      <c r="D174" s="10">
        <f t="shared" si="4"/>
        <v>0</v>
      </c>
      <c r="E174" s="10" t="str">
        <f t="shared" si="5"/>
        <v>Absent</v>
      </c>
    </row>
    <row r="175" spans="1:5" ht="15.75" customHeight="1" x14ac:dyDescent="0.3">
      <c r="A175" s="11" t="s">
        <v>44</v>
      </c>
      <c r="B175" s="12">
        <v>45477</v>
      </c>
      <c r="C175" s="10" t="s">
        <v>68</v>
      </c>
      <c r="D175" s="10">
        <f t="shared" si="4"/>
        <v>1</v>
      </c>
      <c r="E175" s="10" t="str">
        <f t="shared" si="5"/>
        <v>Present</v>
      </c>
    </row>
    <row r="176" spans="1:5" ht="15.75" customHeight="1" x14ac:dyDescent="0.3">
      <c r="A176" s="11" t="s">
        <v>44</v>
      </c>
      <c r="B176" s="12">
        <v>45478</v>
      </c>
      <c r="C176" s="10" t="s">
        <v>69</v>
      </c>
      <c r="D176" s="10">
        <f t="shared" si="4"/>
        <v>0</v>
      </c>
      <c r="E176" s="10" t="str">
        <f t="shared" si="5"/>
        <v>Absent</v>
      </c>
    </row>
    <row r="177" spans="1:5" ht="15.75" customHeight="1" x14ac:dyDescent="0.3">
      <c r="A177" s="11" t="s">
        <v>45</v>
      </c>
      <c r="B177" s="12">
        <v>45474</v>
      </c>
      <c r="C177" s="11" t="s">
        <v>68</v>
      </c>
      <c r="D177" s="10">
        <f t="shared" si="4"/>
        <v>1</v>
      </c>
      <c r="E177" s="10" t="str">
        <f t="shared" si="5"/>
        <v>Present</v>
      </c>
    </row>
    <row r="178" spans="1:5" ht="15.75" customHeight="1" x14ac:dyDescent="0.3">
      <c r="A178" s="11" t="s">
        <v>45</v>
      </c>
      <c r="B178" s="12">
        <v>45475</v>
      </c>
      <c r="C178" s="10" t="s">
        <v>69</v>
      </c>
      <c r="D178" s="10">
        <f t="shared" si="4"/>
        <v>0</v>
      </c>
      <c r="E178" s="10" t="str">
        <f t="shared" si="5"/>
        <v>Absent</v>
      </c>
    </row>
    <row r="179" spans="1:5" ht="15.75" customHeight="1" x14ac:dyDescent="0.3">
      <c r="A179" s="11" t="s">
        <v>45</v>
      </c>
      <c r="B179" s="12">
        <v>45476</v>
      </c>
      <c r="C179" s="10" t="s">
        <v>68</v>
      </c>
      <c r="D179" s="10">
        <f t="shared" si="4"/>
        <v>1</v>
      </c>
      <c r="E179" s="10" t="str">
        <f t="shared" si="5"/>
        <v>Present</v>
      </c>
    </row>
    <row r="180" spans="1:5" ht="15.75" customHeight="1" x14ac:dyDescent="0.3">
      <c r="A180" s="11" t="s">
        <v>45</v>
      </c>
      <c r="B180" s="12">
        <v>45477</v>
      </c>
      <c r="C180" s="10" t="s">
        <v>68</v>
      </c>
      <c r="D180" s="10">
        <f t="shared" si="4"/>
        <v>1</v>
      </c>
      <c r="E180" s="10" t="str">
        <f t="shared" si="5"/>
        <v>Present</v>
      </c>
    </row>
    <row r="181" spans="1:5" ht="15.75" customHeight="1" x14ac:dyDescent="0.3">
      <c r="A181" s="11" t="s">
        <v>45</v>
      </c>
      <c r="B181" s="12">
        <v>45478</v>
      </c>
      <c r="C181" s="10" t="s">
        <v>68</v>
      </c>
      <c r="D181" s="10">
        <f t="shared" si="4"/>
        <v>1</v>
      </c>
      <c r="E181" s="10" t="str">
        <f t="shared" si="5"/>
        <v>Present</v>
      </c>
    </row>
    <row r="182" spans="1:5" ht="15.75" customHeight="1" x14ac:dyDescent="0.3">
      <c r="A182" s="11" t="s">
        <v>46</v>
      </c>
      <c r="B182" s="12">
        <v>45474</v>
      </c>
      <c r="C182" s="11" t="s">
        <v>69</v>
      </c>
      <c r="D182" s="10">
        <f t="shared" si="4"/>
        <v>0</v>
      </c>
      <c r="E182" s="10" t="str">
        <f t="shared" si="5"/>
        <v>Absent</v>
      </c>
    </row>
    <row r="183" spans="1:5" ht="15.75" customHeight="1" x14ac:dyDescent="0.3">
      <c r="A183" s="11" t="s">
        <v>46</v>
      </c>
      <c r="B183" s="12">
        <v>45475</v>
      </c>
      <c r="C183" s="10" t="s">
        <v>69</v>
      </c>
      <c r="D183" s="10">
        <f t="shared" si="4"/>
        <v>0</v>
      </c>
      <c r="E183" s="10" t="str">
        <f t="shared" si="5"/>
        <v>Absent</v>
      </c>
    </row>
    <row r="184" spans="1:5" ht="15.75" customHeight="1" x14ac:dyDescent="0.3">
      <c r="A184" s="11" t="s">
        <v>46</v>
      </c>
      <c r="B184" s="12">
        <v>45476</v>
      </c>
      <c r="C184" s="10" t="s">
        <v>69</v>
      </c>
      <c r="D184" s="10">
        <f t="shared" si="4"/>
        <v>0</v>
      </c>
      <c r="E184" s="10" t="str">
        <f t="shared" si="5"/>
        <v>Absent</v>
      </c>
    </row>
    <row r="185" spans="1:5" ht="15.75" customHeight="1" x14ac:dyDescent="0.3">
      <c r="A185" s="11" t="s">
        <v>46</v>
      </c>
      <c r="B185" s="12">
        <v>45477</v>
      </c>
      <c r="C185" s="10" t="s">
        <v>68</v>
      </c>
      <c r="D185" s="10">
        <f t="shared" si="4"/>
        <v>1</v>
      </c>
      <c r="E185" s="10" t="str">
        <f t="shared" si="5"/>
        <v>Present</v>
      </c>
    </row>
    <row r="186" spans="1:5" ht="15.75" customHeight="1" x14ac:dyDescent="0.3">
      <c r="A186" s="11" t="s">
        <v>46</v>
      </c>
      <c r="B186" s="12">
        <v>45478</v>
      </c>
      <c r="C186" s="10" t="s">
        <v>69</v>
      </c>
      <c r="D186" s="10">
        <f t="shared" si="4"/>
        <v>0</v>
      </c>
      <c r="E186" s="10" t="str">
        <f t="shared" si="5"/>
        <v>Absent</v>
      </c>
    </row>
    <row r="187" spans="1:5" ht="15.75" customHeight="1" x14ac:dyDescent="0.3">
      <c r="A187" s="11" t="s">
        <v>47</v>
      </c>
      <c r="B187" s="12">
        <v>45474</v>
      </c>
      <c r="C187" s="11" t="s">
        <v>68</v>
      </c>
      <c r="D187" s="10">
        <f t="shared" si="4"/>
        <v>1</v>
      </c>
      <c r="E187" s="10" t="str">
        <f t="shared" si="5"/>
        <v>Present</v>
      </c>
    </row>
    <row r="188" spans="1:5" ht="15.75" customHeight="1" x14ac:dyDescent="0.3">
      <c r="A188" s="11" t="s">
        <v>47</v>
      </c>
      <c r="B188" s="12">
        <v>45475</v>
      </c>
      <c r="C188" s="10" t="s">
        <v>68</v>
      </c>
      <c r="D188" s="10">
        <f t="shared" si="4"/>
        <v>1</v>
      </c>
      <c r="E188" s="10" t="str">
        <f t="shared" si="5"/>
        <v>Present</v>
      </c>
    </row>
    <row r="189" spans="1:5" ht="15.75" customHeight="1" x14ac:dyDescent="0.3">
      <c r="A189" s="11" t="s">
        <v>47</v>
      </c>
      <c r="B189" s="12">
        <v>45476</v>
      </c>
      <c r="C189" s="10" t="s">
        <v>69</v>
      </c>
      <c r="D189" s="10">
        <f t="shared" si="4"/>
        <v>0</v>
      </c>
      <c r="E189" s="10" t="str">
        <f t="shared" si="5"/>
        <v>Absent</v>
      </c>
    </row>
    <row r="190" spans="1:5" ht="15.75" customHeight="1" x14ac:dyDescent="0.3">
      <c r="A190" s="11" t="s">
        <v>47</v>
      </c>
      <c r="B190" s="12">
        <v>45477</v>
      </c>
      <c r="C190" s="10" t="s">
        <v>69</v>
      </c>
      <c r="D190" s="10">
        <f t="shared" si="4"/>
        <v>0</v>
      </c>
      <c r="E190" s="10" t="str">
        <f t="shared" si="5"/>
        <v>Absent</v>
      </c>
    </row>
    <row r="191" spans="1:5" ht="15.75" customHeight="1" x14ac:dyDescent="0.3">
      <c r="A191" s="11" t="s">
        <v>47</v>
      </c>
      <c r="B191" s="12">
        <v>45478</v>
      </c>
      <c r="C191" s="10" t="s">
        <v>69</v>
      </c>
      <c r="D191" s="10">
        <f t="shared" si="4"/>
        <v>0</v>
      </c>
      <c r="E191" s="10" t="str">
        <f t="shared" si="5"/>
        <v>Absent</v>
      </c>
    </row>
    <row r="192" spans="1:5" ht="15.75" customHeight="1" x14ac:dyDescent="0.3">
      <c r="A192" s="11" t="s">
        <v>48</v>
      </c>
      <c r="B192" s="12">
        <v>45474</v>
      </c>
      <c r="C192" s="11" t="s">
        <v>69</v>
      </c>
      <c r="D192" s="10">
        <f t="shared" si="4"/>
        <v>0</v>
      </c>
      <c r="E192" s="10" t="str">
        <f t="shared" si="5"/>
        <v>Absent</v>
      </c>
    </row>
    <row r="193" spans="1:5" ht="15.75" customHeight="1" x14ac:dyDescent="0.3">
      <c r="A193" s="11" t="s">
        <v>48</v>
      </c>
      <c r="B193" s="12">
        <v>45475</v>
      </c>
      <c r="C193" s="10" t="s">
        <v>68</v>
      </c>
      <c r="D193" s="10">
        <f t="shared" si="4"/>
        <v>1</v>
      </c>
      <c r="E193" s="10" t="str">
        <f t="shared" si="5"/>
        <v>Present</v>
      </c>
    </row>
    <row r="194" spans="1:5" ht="15.75" customHeight="1" x14ac:dyDescent="0.3">
      <c r="A194" s="11" t="s">
        <v>48</v>
      </c>
      <c r="B194" s="12">
        <v>45476</v>
      </c>
      <c r="C194" s="10" t="s">
        <v>69</v>
      </c>
      <c r="D194" s="10">
        <f t="shared" ref="D194:D251" si="6">IF($C194="Yes",1,0)</f>
        <v>0</v>
      </c>
      <c r="E194" s="10" t="str">
        <f t="shared" si="5"/>
        <v>Absent</v>
      </c>
    </row>
    <row r="195" spans="1:5" ht="15.75" customHeight="1" x14ac:dyDescent="0.3">
      <c r="A195" s="11" t="s">
        <v>48</v>
      </c>
      <c r="B195" s="12">
        <v>45477</v>
      </c>
      <c r="C195" s="10" t="s">
        <v>68</v>
      </c>
      <c r="D195" s="10">
        <f t="shared" si="6"/>
        <v>1</v>
      </c>
      <c r="E195" s="10" t="str">
        <f t="shared" ref="E195:E251" si="7">IF(C195="Yes","Present","Absent")</f>
        <v>Present</v>
      </c>
    </row>
    <row r="196" spans="1:5" ht="15.75" customHeight="1" x14ac:dyDescent="0.3">
      <c r="A196" s="11" t="s">
        <v>48</v>
      </c>
      <c r="B196" s="12">
        <v>45478</v>
      </c>
      <c r="C196" s="10" t="s">
        <v>69</v>
      </c>
      <c r="D196" s="10">
        <f t="shared" si="6"/>
        <v>0</v>
      </c>
      <c r="E196" s="10" t="str">
        <f t="shared" si="7"/>
        <v>Absent</v>
      </c>
    </row>
    <row r="197" spans="1:5" ht="15.75" customHeight="1" x14ac:dyDescent="0.3">
      <c r="A197" s="11" t="s">
        <v>49</v>
      </c>
      <c r="B197" s="12">
        <v>45474</v>
      </c>
      <c r="C197" s="11" t="s">
        <v>68</v>
      </c>
      <c r="D197" s="10">
        <f t="shared" si="6"/>
        <v>1</v>
      </c>
      <c r="E197" s="10" t="str">
        <f t="shared" si="7"/>
        <v>Present</v>
      </c>
    </row>
    <row r="198" spans="1:5" ht="15.75" customHeight="1" x14ac:dyDescent="0.3">
      <c r="A198" s="11" t="s">
        <v>49</v>
      </c>
      <c r="B198" s="12">
        <v>45475</v>
      </c>
      <c r="C198" s="10" t="s">
        <v>69</v>
      </c>
      <c r="D198" s="10">
        <f t="shared" si="6"/>
        <v>0</v>
      </c>
      <c r="E198" s="10" t="str">
        <f t="shared" si="7"/>
        <v>Absent</v>
      </c>
    </row>
    <row r="199" spans="1:5" ht="15.75" customHeight="1" x14ac:dyDescent="0.3">
      <c r="A199" s="11" t="s">
        <v>49</v>
      </c>
      <c r="B199" s="12">
        <v>45476</v>
      </c>
      <c r="C199" s="10" t="s">
        <v>69</v>
      </c>
      <c r="D199" s="10">
        <f t="shared" si="6"/>
        <v>0</v>
      </c>
      <c r="E199" s="10" t="str">
        <f t="shared" si="7"/>
        <v>Absent</v>
      </c>
    </row>
    <row r="200" spans="1:5" ht="15.75" customHeight="1" x14ac:dyDescent="0.3">
      <c r="A200" s="11" t="s">
        <v>49</v>
      </c>
      <c r="B200" s="12">
        <v>45477</v>
      </c>
      <c r="C200" s="10" t="s">
        <v>68</v>
      </c>
      <c r="D200" s="10">
        <f t="shared" si="6"/>
        <v>1</v>
      </c>
      <c r="E200" s="10" t="str">
        <f t="shared" si="7"/>
        <v>Present</v>
      </c>
    </row>
    <row r="201" spans="1:5" ht="15.75" customHeight="1" x14ac:dyDescent="0.3">
      <c r="A201" s="11" t="s">
        <v>49</v>
      </c>
      <c r="B201" s="12">
        <v>45478</v>
      </c>
      <c r="C201" s="10" t="s">
        <v>68</v>
      </c>
      <c r="D201" s="10">
        <f t="shared" si="6"/>
        <v>1</v>
      </c>
      <c r="E201" s="10" t="str">
        <f t="shared" si="7"/>
        <v>Present</v>
      </c>
    </row>
    <row r="202" spans="1:5" ht="15.75" customHeight="1" x14ac:dyDescent="0.3">
      <c r="A202" s="11" t="s">
        <v>50</v>
      </c>
      <c r="B202" s="12">
        <v>45474</v>
      </c>
      <c r="C202" s="11" t="s">
        <v>69</v>
      </c>
      <c r="D202" s="10">
        <f t="shared" si="6"/>
        <v>0</v>
      </c>
      <c r="E202" s="10" t="str">
        <f t="shared" si="7"/>
        <v>Absent</v>
      </c>
    </row>
    <row r="203" spans="1:5" ht="15.75" customHeight="1" x14ac:dyDescent="0.3">
      <c r="A203" s="11" t="s">
        <v>50</v>
      </c>
      <c r="B203" s="12">
        <v>45475</v>
      </c>
      <c r="C203" s="10" t="s">
        <v>68</v>
      </c>
      <c r="D203" s="10">
        <f t="shared" si="6"/>
        <v>1</v>
      </c>
      <c r="E203" s="10" t="str">
        <f t="shared" si="7"/>
        <v>Present</v>
      </c>
    </row>
    <row r="204" spans="1:5" ht="15.75" customHeight="1" x14ac:dyDescent="0.3">
      <c r="A204" s="11" t="s">
        <v>50</v>
      </c>
      <c r="B204" s="12">
        <v>45476</v>
      </c>
      <c r="C204" s="10" t="s">
        <v>68</v>
      </c>
      <c r="D204" s="10">
        <f t="shared" si="6"/>
        <v>1</v>
      </c>
      <c r="E204" s="10" t="str">
        <f t="shared" si="7"/>
        <v>Present</v>
      </c>
    </row>
    <row r="205" spans="1:5" ht="15.75" customHeight="1" x14ac:dyDescent="0.3">
      <c r="A205" s="11" t="s">
        <v>50</v>
      </c>
      <c r="B205" s="12">
        <v>45477</v>
      </c>
      <c r="C205" s="10" t="s">
        <v>69</v>
      </c>
      <c r="D205" s="10">
        <f t="shared" si="6"/>
        <v>0</v>
      </c>
      <c r="E205" s="10" t="str">
        <f t="shared" si="7"/>
        <v>Absent</v>
      </c>
    </row>
    <row r="206" spans="1:5" ht="15.75" customHeight="1" x14ac:dyDescent="0.3">
      <c r="A206" s="11" t="s">
        <v>50</v>
      </c>
      <c r="B206" s="12">
        <v>45478</v>
      </c>
      <c r="C206" s="10" t="s">
        <v>69</v>
      </c>
      <c r="D206" s="10">
        <f t="shared" si="6"/>
        <v>0</v>
      </c>
      <c r="E206" s="10" t="str">
        <f t="shared" si="7"/>
        <v>Absent</v>
      </c>
    </row>
    <row r="207" spans="1:5" ht="15.75" customHeight="1" x14ac:dyDescent="0.3">
      <c r="A207" s="11" t="s">
        <v>51</v>
      </c>
      <c r="B207" s="12">
        <v>45474</v>
      </c>
      <c r="C207" s="11" t="s">
        <v>68</v>
      </c>
      <c r="D207" s="10">
        <f t="shared" si="6"/>
        <v>1</v>
      </c>
      <c r="E207" s="10" t="str">
        <f t="shared" si="7"/>
        <v>Present</v>
      </c>
    </row>
    <row r="208" spans="1:5" ht="15.75" customHeight="1" x14ac:dyDescent="0.3">
      <c r="A208" s="11" t="s">
        <v>51</v>
      </c>
      <c r="B208" s="12">
        <v>45475</v>
      </c>
      <c r="C208" s="10" t="s">
        <v>68</v>
      </c>
      <c r="D208" s="10">
        <f t="shared" si="6"/>
        <v>1</v>
      </c>
      <c r="E208" s="10" t="str">
        <f t="shared" si="7"/>
        <v>Present</v>
      </c>
    </row>
    <row r="209" spans="1:5" ht="15.75" customHeight="1" x14ac:dyDescent="0.3">
      <c r="A209" s="11" t="s">
        <v>51</v>
      </c>
      <c r="B209" s="12">
        <v>45476</v>
      </c>
      <c r="C209" s="10" t="s">
        <v>68</v>
      </c>
      <c r="D209" s="10">
        <f t="shared" si="6"/>
        <v>1</v>
      </c>
      <c r="E209" s="10" t="str">
        <f t="shared" si="7"/>
        <v>Present</v>
      </c>
    </row>
    <row r="210" spans="1:5" ht="15.75" customHeight="1" x14ac:dyDescent="0.3">
      <c r="A210" s="11" t="s">
        <v>51</v>
      </c>
      <c r="B210" s="12">
        <v>45477</v>
      </c>
      <c r="C210" s="10" t="s">
        <v>69</v>
      </c>
      <c r="D210" s="10">
        <f t="shared" si="6"/>
        <v>0</v>
      </c>
      <c r="E210" s="10" t="str">
        <f t="shared" si="7"/>
        <v>Absent</v>
      </c>
    </row>
    <row r="211" spans="1:5" ht="15.75" customHeight="1" x14ac:dyDescent="0.3">
      <c r="A211" s="11" t="s">
        <v>51</v>
      </c>
      <c r="B211" s="12">
        <v>45478</v>
      </c>
      <c r="C211" s="10" t="s">
        <v>68</v>
      </c>
      <c r="D211" s="10">
        <f t="shared" si="6"/>
        <v>1</v>
      </c>
      <c r="E211" s="10" t="str">
        <f t="shared" si="7"/>
        <v>Present</v>
      </c>
    </row>
    <row r="212" spans="1:5" ht="15.75" customHeight="1" x14ac:dyDescent="0.3">
      <c r="A212" s="11" t="s">
        <v>52</v>
      </c>
      <c r="B212" s="12">
        <v>45474</v>
      </c>
      <c r="C212" s="11" t="s">
        <v>69</v>
      </c>
      <c r="D212" s="10">
        <f t="shared" si="6"/>
        <v>0</v>
      </c>
      <c r="E212" s="10" t="str">
        <f t="shared" si="7"/>
        <v>Absent</v>
      </c>
    </row>
    <row r="213" spans="1:5" ht="15.75" customHeight="1" x14ac:dyDescent="0.3">
      <c r="A213" s="11" t="s">
        <v>52</v>
      </c>
      <c r="B213" s="12">
        <v>45475</v>
      </c>
      <c r="C213" s="10" t="s">
        <v>69</v>
      </c>
      <c r="D213" s="10">
        <f t="shared" si="6"/>
        <v>0</v>
      </c>
      <c r="E213" s="10" t="str">
        <f t="shared" si="7"/>
        <v>Absent</v>
      </c>
    </row>
    <row r="214" spans="1:5" ht="15.75" customHeight="1" x14ac:dyDescent="0.3">
      <c r="A214" s="11" t="s">
        <v>52</v>
      </c>
      <c r="B214" s="12">
        <v>45476</v>
      </c>
      <c r="C214" s="10" t="s">
        <v>69</v>
      </c>
      <c r="D214" s="10">
        <f t="shared" si="6"/>
        <v>0</v>
      </c>
      <c r="E214" s="10" t="str">
        <f t="shared" si="7"/>
        <v>Absent</v>
      </c>
    </row>
    <row r="215" spans="1:5" ht="15.75" customHeight="1" x14ac:dyDescent="0.3">
      <c r="A215" s="11" t="s">
        <v>52</v>
      </c>
      <c r="B215" s="12">
        <v>45477</v>
      </c>
      <c r="C215" s="10" t="s">
        <v>69</v>
      </c>
      <c r="D215" s="10">
        <f t="shared" si="6"/>
        <v>0</v>
      </c>
      <c r="E215" s="10" t="str">
        <f t="shared" si="7"/>
        <v>Absent</v>
      </c>
    </row>
    <row r="216" spans="1:5" ht="15.75" customHeight="1" x14ac:dyDescent="0.3">
      <c r="A216" s="11" t="s">
        <v>52</v>
      </c>
      <c r="B216" s="12">
        <v>45478</v>
      </c>
      <c r="C216" s="10" t="s">
        <v>69</v>
      </c>
      <c r="D216" s="10">
        <f t="shared" si="6"/>
        <v>0</v>
      </c>
      <c r="E216" s="10" t="str">
        <f t="shared" si="7"/>
        <v>Absent</v>
      </c>
    </row>
    <row r="217" spans="1:5" ht="15.75" customHeight="1" x14ac:dyDescent="0.3">
      <c r="A217" s="11" t="s">
        <v>53</v>
      </c>
      <c r="B217" s="12">
        <v>45474</v>
      </c>
      <c r="C217" s="11" t="s">
        <v>68</v>
      </c>
      <c r="D217" s="10">
        <f t="shared" si="6"/>
        <v>1</v>
      </c>
      <c r="E217" s="10" t="str">
        <f t="shared" si="7"/>
        <v>Present</v>
      </c>
    </row>
    <row r="218" spans="1:5" ht="15.75" customHeight="1" x14ac:dyDescent="0.3">
      <c r="A218" s="11" t="s">
        <v>53</v>
      </c>
      <c r="B218" s="12">
        <v>45475</v>
      </c>
      <c r="C218" s="10" t="s">
        <v>69</v>
      </c>
      <c r="D218" s="10">
        <f t="shared" si="6"/>
        <v>0</v>
      </c>
      <c r="E218" s="10" t="str">
        <f t="shared" si="7"/>
        <v>Absent</v>
      </c>
    </row>
    <row r="219" spans="1:5" ht="15.75" customHeight="1" x14ac:dyDescent="0.3">
      <c r="A219" s="11" t="s">
        <v>53</v>
      </c>
      <c r="B219" s="12">
        <v>45476</v>
      </c>
      <c r="C219" s="10" t="s">
        <v>69</v>
      </c>
      <c r="D219" s="10">
        <f t="shared" si="6"/>
        <v>0</v>
      </c>
      <c r="E219" s="10" t="str">
        <f t="shared" si="7"/>
        <v>Absent</v>
      </c>
    </row>
    <row r="220" spans="1:5" ht="15.75" customHeight="1" x14ac:dyDescent="0.3">
      <c r="A220" s="11" t="s">
        <v>53</v>
      </c>
      <c r="B220" s="12">
        <v>45477</v>
      </c>
      <c r="C220" s="10" t="s">
        <v>69</v>
      </c>
      <c r="D220" s="10">
        <f t="shared" si="6"/>
        <v>0</v>
      </c>
      <c r="E220" s="10" t="str">
        <f t="shared" si="7"/>
        <v>Absent</v>
      </c>
    </row>
    <row r="221" spans="1:5" ht="15.75" customHeight="1" x14ac:dyDescent="0.3">
      <c r="A221" s="11" t="s">
        <v>53</v>
      </c>
      <c r="B221" s="12">
        <v>45478</v>
      </c>
      <c r="C221" s="10" t="s">
        <v>68</v>
      </c>
      <c r="D221" s="10">
        <f t="shared" si="6"/>
        <v>1</v>
      </c>
      <c r="E221" s="10" t="str">
        <f t="shared" si="7"/>
        <v>Present</v>
      </c>
    </row>
    <row r="222" spans="1:5" ht="15.75" customHeight="1" x14ac:dyDescent="0.3">
      <c r="A222" s="11" t="s">
        <v>9</v>
      </c>
      <c r="B222" s="12">
        <v>45474</v>
      </c>
      <c r="C222" s="11" t="s">
        <v>68</v>
      </c>
      <c r="D222" s="10">
        <f t="shared" si="6"/>
        <v>1</v>
      </c>
      <c r="E222" s="10" t="str">
        <f t="shared" si="7"/>
        <v>Present</v>
      </c>
    </row>
    <row r="223" spans="1:5" ht="15.75" customHeight="1" x14ac:dyDescent="0.3">
      <c r="A223" s="11" t="s">
        <v>9</v>
      </c>
      <c r="B223" s="12">
        <v>45475</v>
      </c>
      <c r="C223" s="10" t="s">
        <v>69</v>
      </c>
      <c r="D223" s="10">
        <f t="shared" si="6"/>
        <v>0</v>
      </c>
      <c r="E223" s="10" t="str">
        <f t="shared" si="7"/>
        <v>Absent</v>
      </c>
    </row>
    <row r="224" spans="1:5" ht="15.75" customHeight="1" x14ac:dyDescent="0.3">
      <c r="A224" s="11" t="s">
        <v>9</v>
      </c>
      <c r="B224" s="12">
        <v>45476</v>
      </c>
      <c r="C224" s="10" t="s">
        <v>68</v>
      </c>
      <c r="D224" s="10">
        <f t="shared" si="6"/>
        <v>1</v>
      </c>
      <c r="E224" s="10" t="str">
        <f t="shared" si="7"/>
        <v>Present</v>
      </c>
    </row>
    <row r="225" spans="1:5" ht="15.75" customHeight="1" x14ac:dyDescent="0.3">
      <c r="A225" s="11" t="s">
        <v>9</v>
      </c>
      <c r="B225" s="12">
        <v>45477</v>
      </c>
      <c r="C225" s="10" t="s">
        <v>68</v>
      </c>
      <c r="D225" s="10">
        <f t="shared" si="6"/>
        <v>1</v>
      </c>
      <c r="E225" s="10" t="str">
        <f t="shared" si="7"/>
        <v>Present</v>
      </c>
    </row>
    <row r="226" spans="1:5" ht="15.75" customHeight="1" x14ac:dyDescent="0.3">
      <c r="A226" s="11" t="s">
        <v>9</v>
      </c>
      <c r="B226" s="12">
        <v>45478</v>
      </c>
      <c r="C226" s="10" t="s">
        <v>69</v>
      </c>
      <c r="D226" s="10">
        <f t="shared" si="6"/>
        <v>0</v>
      </c>
      <c r="E226" s="10" t="str">
        <f t="shared" si="7"/>
        <v>Absent</v>
      </c>
    </row>
    <row r="227" spans="1:5" ht="15.75" customHeight="1" x14ac:dyDescent="0.3">
      <c r="A227" s="11" t="s">
        <v>54</v>
      </c>
      <c r="B227" s="12">
        <v>45474</v>
      </c>
      <c r="C227" s="11" t="s">
        <v>69</v>
      </c>
      <c r="D227" s="10">
        <f t="shared" si="6"/>
        <v>0</v>
      </c>
      <c r="E227" s="10" t="str">
        <f t="shared" si="7"/>
        <v>Absent</v>
      </c>
    </row>
    <row r="228" spans="1:5" ht="15.75" customHeight="1" x14ac:dyDescent="0.3">
      <c r="A228" s="11" t="s">
        <v>54</v>
      </c>
      <c r="B228" s="12">
        <v>45475</v>
      </c>
      <c r="C228" s="10" t="s">
        <v>69</v>
      </c>
      <c r="D228" s="10">
        <f t="shared" si="6"/>
        <v>0</v>
      </c>
      <c r="E228" s="10" t="str">
        <f t="shared" si="7"/>
        <v>Absent</v>
      </c>
    </row>
    <row r="229" spans="1:5" ht="15.75" customHeight="1" x14ac:dyDescent="0.3">
      <c r="A229" s="11" t="s">
        <v>54</v>
      </c>
      <c r="B229" s="12">
        <v>45476</v>
      </c>
      <c r="C229" s="10" t="s">
        <v>69</v>
      </c>
      <c r="D229" s="10">
        <f t="shared" si="6"/>
        <v>0</v>
      </c>
      <c r="E229" s="10" t="str">
        <f t="shared" si="7"/>
        <v>Absent</v>
      </c>
    </row>
    <row r="230" spans="1:5" ht="15.75" customHeight="1" x14ac:dyDescent="0.3">
      <c r="A230" s="11" t="s">
        <v>54</v>
      </c>
      <c r="B230" s="12">
        <v>45477</v>
      </c>
      <c r="C230" s="10" t="s">
        <v>68</v>
      </c>
      <c r="D230" s="10">
        <f t="shared" si="6"/>
        <v>1</v>
      </c>
      <c r="E230" s="10" t="str">
        <f t="shared" si="7"/>
        <v>Present</v>
      </c>
    </row>
    <row r="231" spans="1:5" ht="15.75" customHeight="1" x14ac:dyDescent="0.3">
      <c r="A231" s="11" t="s">
        <v>54</v>
      </c>
      <c r="B231" s="12">
        <v>45478</v>
      </c>
      <c r="C231" s="10" t="s">
        <v>69</v>
      </c>
      <c r="D231" s="10">
        <f t="shared" si="6"/>
        <v>0</v>
      </c>
      <c r="E231" s="10" t="str">
        <f t="shared" si="7"/>
        <v>Absent</v>
      </c>
    </row>
    <row r="232" spans="1:5" ht="15.75" customHeight="1" x14ac:dyDescent="0.3">
      <c r="A232" s="11" t="s">
        <v>10</v>
      </c>
      <c r="B232" s="12">
        <v>45474</v>
      </c>
      <c r="C232" s="11" t="s">
        <v>69</v>
      </c>
      <c r="D232" s="10">
        <f t="shared" si="6"/>
        <v>0</v>
      </c>
      <c r="E232" s="10" t="str">
        <f t="shared" si="7"/>
        <v>Absent</v>
      </c>
    </row>
    <row r="233" spans="1:5" ht="15.75" customHeight="1" x14ac:dyDescent="0.3">
      <c r="A233" s="11" t="s">
        <v>10</v>
      </c>
      <c r="B233" s="12">
        <v>45475</v>
      </c>
      <c r="C233" s="10" t="s">
        <v>69</v>
      </c>
      <c r="D233" s="10">
        <f t="shared" si="6"/>
        <v>0</v>
      </c>
      <c r="E233" s="10" t="str">
        <f t="shared" si="7"/>
        <v>Absent</v>
      </c>
    </row>
    <row r="234" spans="1:5" ht="15.75" customHeight="1" x14ac:dyDescent="0.3">
      <c r="A234" s="11" t="s">
        <v>10</v>
      </c>
      <c r="B234" s="12">
        <v>45476</v>
      </c>
      <c r="C234" s="10" t="s">
        <v>68</v>
      </c>
      <c r="D234" s="10">
        <f t="shared" si="6"/>
        <v>1</v>
      </c>
      <c r="E234" s="10" t="str">
        <f t="shared" si="7"/>
        <v>Present</v>
      </c>
    </row>
    <row r="235" spans="1:5" ht="15.75" customHeight="1" x14ac:dyDescent="0.3">
      <c r="A235" s="11" t="s">
        <v>10</v>
      </c>
      <c r="B235" s="12">
        <v>45477</v>
      </c>
      <c r="C235" s="10" t="s">
        <v>68</v>
      </c>
      <c r="D235" s="10">
        <f t="shared" si="6"/>
        <v>1</v>
      </c>
      <c r="E235" s="10" t="str">
        <f t="shared" si="7"/>
        <v>Present</v>
      </c>
    </row>
    <row r="236" spans="1:5" ht="15.75" customHeight="1" x14ac:dyDescent="0.3">
      <c r="A236" s="11" t="s">
        <v>10</v>
      </c>
      <c r="B236" s="12">
        <v>45478</v>
      </c>
      <c r="C236" s="10" t="s">
        <v>68</v>
      </c>
      <c r="D236" s="10">
        <f t="shared" si="6"/>
        <v>1</v>
      </c>
      <c r="E236" s="10" t="str">
        <f t="shared" si="7"/>
        <v>Present</v>
      </c>
    </row>
    <row r="237" spans="1:5" ht="15.75" customHeight="1" x14ac:dyDescent="0.3">
      <c r="A237" s="11" t="s">
        <v>11</v>
      </c>
      <c r="B237" s="12">
        <v>45474</v>
      </c>
      <c r="C237" s="11" t="s">
        <v>68</v>
      </c>
      <c r="D237" s="10">
        <f t="shared" si="6"/>
        <v>1</v>
      </c>
      <c r="E237" s="10" t="str">
        <f t="shared" si="7"/>
        <v>Present</v>
      </c>
    </row>
    <row r="238" spans="1:5" ht="15.75" customHeight="1" x14ac:dyDescent="0.3">
      <c r="A238" s="11" t="s">
        <v>11</v>
      </c>
      <c r="B238" s="12">
        <v>45475</v>
      </c>
      <c r="C238" s="10" t="s">
        <v>69</v>
      </c>
      <c r="D238" s="10">
        <f t="shared" si="6"/>
        <v>0</v>
      </c>
      <c r="E238" s="10" t="str">
        <f t="shared" si="7"/>
        <v>Absent</v>
      </c>
    </row>
    <row r="239" spans="1:5" ht="15.75" customHeight="1" x14ac:dyDescent="0.3">
      <c r="A239" s="11" t="s">
        <v>11</v>
      </c>
      <c r="B239" s="12">
        <v>45476</v>
      </c>
      <c r="C239" s="10" t="s">
        <v>68</v>
      </c>
      <c r="D239" s="10">
        <f t="shared" si="6"/>
        <v>1</v>
      </c>
      <c r="E239" s="10" t="str">
        <f t="shared" si="7"/>
        <v>Present</v>
      </c>
    </row>
    <row r="240" spans="1:5" ht="15.75" customHeight="1" x14ac:dyDescent="0.3">
      <c r="A240" s="11" t="s">
        <v>11</v>
      </c>
      <c r="B240" s="12">
        <v>45477</v>
      </c>
      <c r="C240" s="10" t="s">
        <v>68</v>
      </c>
      <c r="D240" s="10">
        <f t="shared" si="6"/>
        <v>1</v>
      </c>
      <c r="E240" s="10" t="str">
        <f t="shared" si="7"/>
        <v>Present</v>
      </c>
    </row>
    <row r="241" spans="1:5" ht="15.75" customHeight="1" x14ac:dyDescent="0.3">
      <c r="A241" s="11" t="s">
        <v>11</v>
      </c>
      <c r="B241" s="12">
        <v>45478</v>
      </c>
      <c r="C241" s="10" t="s">
        <v>68</v>
      </c>
      <c r="D241" s="10">
        <f t="shared" si="6"/>
        <v>1</v>
      </c>
      <c r="E241" s="10" t="str">
        <f t="shared" si="7"/>
        <v>Present</v>
      </c>
    </row>
    <row r="242" spans="1:5" ht="15.75" customHeight="1" x14ac:dyDescent="0.3">
      <c r="A242" s="11" t="s">
        <v>12</v>
      </c>
      <c r="B242" s="12">
        <v>45474</v>
      </c>
      <c r="C242" s="11" t="s">
        <v>69</v>
      </c>
      <c r="D242" s="10">
        <f t="shared" si="6"/>
        <v>0</v>
      </c>
      <c r="E242" s="10" t="str">
        <f t="shared" si="7"/>
        <v>Absent</v>
      </c>
    </row>
    <row r="243" spans="1:5" ht="15.75" customHeight="1" x14ac:dyDescent="0.3">
      <c r="A243" s="11" t="s">
        <v>12</v>
      </c>
      <c r="B243" s="12">
        <v>45475</v>
      </c>
      <c r="C243" s="10" t="s">
        <v>68</v>
      </c>
      <c r="D243" s="10">
        <f t="shared" si="6"/>
        <v>1</v>
      </c>
      <c r="E243" s="10" t="str">
        <f t="shared" si="7"/>
        <v>Present</v>
      </c>
    </row>
    <row r="244" spans="1:5" ht="15.75" customHeight="1" x14ac:dyDescent="0.3">
      <c r="A244" s="11" t="s">
        <v>12</v>
      </c>
      <c r="B244" s="12">
        <v>45476</v>
      </c>
      <c r="C244" s="10" t="s">
        <v>68</v>
      </c>
      <c r="D244" s="10">
        <f t="shared" si="6"/>
        <v>1</v>
      </c>
      <c r="E244" s="10" t="str">
        <f t="shared" si="7"/>
        <v>Present</v>
      </c>
    </row>
    <row r="245" spans="1:5" ht="15.75" customHeight="1" x14ac:dyDescent="0.3">
      <c r="A245" s="11" t="s">
        <v>12</v>
      </c>
      <c r="B245" s="12">
        <v>45477</v>
      </c>
      <c r="C245" s="10" t="s">
        <v>68</v>
      </c>
      <c r="D245" s="10">
        <f t="shared" si="6"/>
        <v>1</v>
      </c>
      <c r="E245" s="10" t="str">
        <f t="shared" si="7"/>
        <v>Present</v>
      </c>
    </row>
    <row r="246" spans="1:5" ht="15.75" customHeight="1" x14ac:dyDescent="0.3">
      <c r="A246" s="11" t="s">
        <v>12</v>
      </c>
      <c r="B246" s="12">
        <v>45478</v>
      </c>
      <c r="C246" s="10" t="s">
        <v>69</v>
      </c>
      <c r="D246" s="10">
        <f t="shared" si="6"/>
        <v>0</v>
      </c>
      <c r="E246" s="10" t="str">
        <f t="shared" si="7"/>
        <v>Absent</v>
      </c>
    </row>
    <row r="247" spans="1:5" ht="15.75" customHeight="1" x14ac:dyDescent="0.3">
      <c r="A247" s="11" t="s">
        <v>13</v>
      </c>
      <c r="B247" s="12">
        <v>45474</v>
      </c>
      <c r="C247" s="11" t="s">
        <v>68</v>
      </c>
      <c r="D247" s="10">
        <f t="shared" si="6"/>
        <v>1</v>
      </c>
      <c r="E247" s="10" t="str">
        <f t="shared" si="7"/>
        <v>Present</v>
      </c>
    </row>
    <row r="248" spans="1:5" ht="15.75" customHeight="1" x14ac:dyDescent="0.3">
      <c r="A248" s="11" t="s">
        <v>13</v>
      </c>
      <c r="B248" s="12">
        <v>45475</v>
      </c>
      <c r="C248" s="10" t="s">
        <v>68</v>
      </c>
      <c r="D248" s="10">
        <f t="shared" si="6"/>
        <v>1</v>
      </c>
      <c r="E248" s="10" t="str">
        <f t="shared" si="7"/>
        <v>Present</v>
      </c>
    </row>
    <row r="249" spans="1:5" ht="15.75" customHeight="1" x14ac:dyDescent="0.3">
      <c r="A249" s="11" t="s">
        <v>13</v>
      </c>
      <c r="B249" s="12">
        <v>45476</v>
      </c>
      <c r="C249" s="10" t="s">
        <v>68</v>
      </c>
      <c r="D249" s="10">
        <f t="shared" si="6"/>
        <v>1</v>
      </c>
      <c r="E249" s="10" t="str">
        <f t="shared" si="7"/>
        <v>Present</v>
      </c>
    </row>
    <row r="250" spans="1:5" ht="15.75" customHeight="1" x14ac:dyDescent="0.3">
      <c r="A250" s="11" t="s">
        <v>13</v>
      </c>
      <c r="B250" s="12">
        <v>45477</v>
      </c>
      <c r="C250" s="10" t="s">
        <v>68</v>
      </c>
      <c r="D250" s="10">
        <f t="shared" si="6"/>
        <v>1</v>
      </c>
      <c r="E250" s="10" t="str">
        <f t="shared" si="7"/>
        <v>Present</v>
      </c>
    </row>
    <row r="251" spans="1:5" ht="15.75" customHeight="1" x14ac:dyDescent="0.3">
      <c r="A251" s="11" t="s">
        <v>13</v>
      </c>
      <c r="B251" s="12">
        <v>45478</v>
      </c>
      <c r="C251" s="10" t="s">
        <v>69</v>
      </c>
      <c r="D251" s="10">
        <f t="shared" si="6"/>
        <v>0</v>
      </c>
      <c r="E251" s="10" t="str">
        <f t="shared" si="7"/>
        <v>Absent</v>
      </c>
    </row>
    <row r="252" spans="1:5" ht="15.75" customHeight="1" x14ac:dyDescent="0.3"/>
    <row r="253" spans="1:5" ht="15.75" customHeight="1" x14ac:dyDescent="0.3"/>
    <row r="254" spans="1:5" ht="15.75" customHeight="1" x14ac:dyDescent="0.3"/>
    <row r="255" spans="1:5" ht="15.75" customHeight="1" x14ac:dyDescent="0.3"/>
    <row r="256" spans="1: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E1:E1048576">
    <cfRule type="containsText" dxfId="1" priority="1" operator="containsText" text="Present">
      <formula>NOT(ISERROR(SEARCH("Present",E1)))</formula>
    </cfRule>
    <cfRule type="containsText" dxfId="0" priority="2" operator="containsText" text="Absent">
      <formula>NOT(ISERROR(SEARCH("Absent",E1)))</formula>
    </cfRule>
  </conditionalFormatting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Tracker</vt:lpstr>
      <vt:lpstr>List3_Details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Majumder</dc:creator>
  <cp:lastModifiedBy>Anik Majumder</cp:lastModifiedBy>
  <dcterms:created xsi:type="dcterms:W3CDTF">2025-12-18T11:19:38Z</dcterms:created>
  <dcterms:modified xsi:type="dcterms:W3CDTF">2026-02-01T05:55:53Z</dcterms:modified>
</cp:coreProperties>
</file>