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0c1822375e5a5ab/Excel and Copilot Fundamentals/"/>
    </mc:Choice>
  </mc:AlternateContent>
  <xr:revisionPtr revIDLastSave="0" documentId="8_{C1A0FDFB-0E98-42E7-AED1-CED74833E680}" xr6:coauthVersionLast="47" xr6:coauthVersionMax="47" xr10:uidLastSave="{00000000-0000-0000-0000-000000000000}"/>
  <bookViews>
    <workbookView xWindow="-108" yWindow="-108" windowWidth="23256" windowHeight="12456" xr2:uid="{8B7C76B3-1A6E-4CFD-8FC3-180FDA9EB405}"/>
  </bookViews>
  <sheets>
    <sheet name="Attendance Tracker" sheetId="1" r:id="rId1"/>
  </sheets>
  <externalReferences>
    <externalReference r:id="rId2"/>
  </externalReferences>
  <calcPr calcId="191029"/>
  <pivotCaches>
    <pivotCache cacheId="1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/>
  <c r="E29" i="1"/>
  <c r="E20" i="1"/>
  <c r="E11" i="1"/>
  <c r="E32" i="1"/>
  <c r="E41" i="1"/>
  <c r="E50" i="1"/>
  <c r="E42" i="1"/>
  <c r="E46" i="1"/>
  <c r="E12" i="1"/>
  <c r="E25" i="1"/>
  <c r="E2" i="1"/>
  <c r="E26" i="1"/>
  <c r="E33" i="1"/>
  <c r="E34" i="1"/>
  <c r="E10" i="1"/>
  <c r="E27" i="1"/>
  <c r="E28" i="1"/>
  <c r="E36" i="1"/>
  <c r="E13" i="1"/>
  <c r="E30" i="1"/>
  <c r="E7" i="1"/>
  <c r="E31" i="1"/>
  <c r="E14" i="1"/>
  <c r="E15" i="1"/>
  <c r="E17" i="1"/>
  <c r="E43" i="1"/>
  <c r="E3" i="1"/>
  <c r="E38" i="1"/>
  <c r="E48" i="1"/>
  <c r="E21" i="1"/>
  <c r="E22" i="1"/>
  <c r="E51" i="1"/>
  <c r="E16" i="1"/>
  <c r="E39" i="1"/>
  <c r="E35" i="1"/>
  <c r="E44" i="1"/>
  <c r="E37" i="1"/>
  <c r="E49" i="1"/>
  <c r="E5" i="1"/>
  <c r="E45" i="1"/>
  <c r="E8" i="1"/>
  <c r="E23" i="1"/>
  <c r="E18" i="1"/>
  <c r="E40" i="1"/>
  <c r="E24" i="1"/>
  <c r="E47" i="1"/>
  <c r="E4" i="1"/>
  <c r="E19" i="1"/>
  <c r="E6" i="1"/>
  <c r="E9" i="1"/>
  <c r="F29" i="1"/>
  <c r="G29" i="1" s="1"/>
  <c r="H29" i="1" s="1"/>
  <c r="F20" i="1"/>
  <c r="F11" i="1"/>
  <c r="F32" i="1"/>
  <c r="F41" i="1"/>
  <c r="G41" i="1" s="1"/>
  <c r="H41" i="1" s="1"/>
  <c r="F50" i="1"/>
  <c r="G50" i="1" s="1"/>
  <c r="H50" i="1" s="1"/>
  <c r="F42" i="1"/>
  <c r="G42" i="1" s="1"/>
  <c r="H42" i="1" s="1"/>
  <c r="F46" i="1"/>
  <c r="F12" i="1"/>
  <c r="F25" i="1"/>
  <c r="G25" i="1" s="1"/>
  <c r="H25" i="1" s="1"/>
  <c r="F26" i="1"/>
  <c r="F33" i="1"/>
  <c r="F34" i="1"/>
  <c r="G34" i="1" s="1"/>
  <c r="H34" i="1" s="1"/>
  <c r="F10" i="1"/>
  <c r="G10" i="1" s="1"/>
  <c r="H10" i="1" s="1"/>
  <c r="F27" i="1"/>
  <c r="G27" i="1" s="1"/>
  <c r="H27" i="1" s="1"/>
  <c r="F28" i="1"/>
  <c r="F36" i="1"/>
  <c r="G36" i="1" s="1"/>
  <c r="H36" i="1" s="1"/>
  <c r="F13" i="1"/>
  <c r="F30" i="1"/>
  <c r="F7" i="1"/>
  <c r="F31" i="1"/>
  <c r="G31" i="1" s="1"/>
  <c r="H31" i="1" s="1"/>
  <c r="F14" i="1"/>
  <c r="F15" i="1"/>
  <c r="G15" i="1" s="1"/>
  <c r="H15" i="1" s="1"/>
  <c r="F17" i="1"/>
  <c r="G17" i="1" s="1"/>
  <c r="H17" i="1" s="1"/>
  <c r="F43" i="1"/>
  <c r="G43" i="1" s="1"/>
  <c r="H43" i="1" s="1"/>
  <c r="F3" i="1"/>
  <c r="F38" i="1"/>
  <c r="F48" i="1"/>
  <c r="F21" i="1"/>
  <c r="F22" i="1"/>
  <c r="F51" i="1"/>
  <c r="F16" i="1"/>
  <c r="G16" i="1" s="1"/>
  <c r="H16" i="1" s="1"/>
  <c r="F39" i="1"/>
  <c r="G39" i="1" s="1"/>
  <c r="H39" i="1" s="1"/>
  <c r="F35" i="1"/>
  <c r="G35" i="1" s="1"/>
  <c r="H35" i="1" s="1"/>
  <c r="F44" i="1"/>
  <c r="F37" i="1"/>
  <c r="G37" i="1" s="1"/>
  <c r="H37" i="1" s="1"/>
  <c r="F49" i="1"/>
  <c r="G49" i="1" s="1"/>
  <c r="H49" i="1" s="1"/>
  <c r="F5" i="1"/>
  <c r="F45" i="1"/>
  <c r="G45" i="1" s="1"/>
  <c r="H45" i="1" s="1"/>
  <c r="F8" i="1"/>
  <c r="F23" i="1"/>
  <c r="G23" i="1" s="1"/>
  <c r="H23" i="1" s="1"/>
  <c r="F18" i="1"/>
  <c r="F40" i="1"/>
  <c r="F24" i="1"/>
  <c r="G24" i="1" s="1"/>
  <c r="H24" i="1" s="1"/>
  <c r="F47" i="1"/>
  <c r="F4" i="1"/>
  <c r="G4" i="1" s="1"/>
  <c r="H4" i="1" s="1"/>
  <c r="F19" i="1"/>
  <c r="F6" i="1"/>
  <c r="G6" i="1" s="1"/>
  <c r="H6" i="1" s="1"/>
  <c r="F9" i="1"/>
  <c r="G9" i="1" s="1"/>
  <c r="H9" i="1" s="1"/>
  <c r="D29" i="1"/>
  <c r="D20" i="1"/>
  <c r="D11" i="1"/>
  <c r="D32" i="1"/>
  <c r="D41" i="1"/>
  <c r="D50" i="1"/>
  <c r="D42" i="1"/>
  <c r="D46" i="1"/>
  <c r="D12" i="1"/>
  <c r="D25" i="1"/>
  <c r="D2" i="1"/>
  <c r="D26" i="1"/>
  <c r="D33" i="1"/>
  <c r="D34" i="1"/>
  <c r="D10" i="1"/>
  <c r="D27" i="1"/>
  <c r="D28" i="1"/>
  <c r="D36" i="1"/>
  <c r="D13" i="1"/>
  <c r="D30" i="1"/>
  <c r="D7" i="1"/>
  <c r="D31" i="1"/>
  <c r="D14" i="1"/>
  <c r="D15" i="1"/>
  <c r="D17" i="1"/>
  <c r="D43" i="1"/>
  <c r="D3" i="1"/>
  <c r="D38" i="1"/>
  <c r="D48" i="1"/>
  <c r="D21" i="1"/>
  <c r="D22" i="1"/>
  <c r="D51" i="1"/>
  <c r="D16" i="1"/>
  <c r="D39" i="1"/>
  <c r="D35" i="1"/>
  <c r="D44" i="1"/>
  <c r="D37" i="1"/>
  <c r="D49" i="1"/>
  <c r="D5" i="1"/>
  <c r="D45" i="1"/>
  <c r="D8" i="1"/>
  <c r="D23" i="1"/>
  <c r="D18" i="1"/>
  <c r="D40" i="1"/>
  <c r="D24" i="1"/>
  <c r="D47" i="1"/>
  <c r="D4" i="1"/>
  <c r="D19" i="1"/>
  <c r="D6" i="1"/>
  <c r="D9" i="1"/>
  <c r="C29" i="1"/>
  <c r="C20" i="1"/>
  <c r="C11" i="1"/>
  <c r="C32" i="1"/>
  <c r="C41" i="1"/>
  <c r="C50" i="1"/>
  <c r="C42" i="1"/>
  <c r="C46" i="1"/>
  <c r="C12" i="1"/>
  <c r="C25" i="1"/>
  <c r="C2" i="1"/>
  <c r="C26" i="1"/>
  <c r="C33" i="1"/>
  <c r="C34" i="1"/>
  <c r="C10" i="1"/>
  <c r="C27" i="1"/>
  <c r="C28" i="1"/>
  <c r="C36" i="1"/>
  <c r="C13" i="1"/>
  <c r="C30" i="1"/>
  <c r="C7" i="1"/>
  <c r="C31" i="1"/>
  <c r="C14" i="1"/>
  <c r="C15" i="1"/>
  <c r="C17" i="1"/>
  <c r="C43" i="1"/>
  <c r="C3" i="1"/>
  <c r="C38" i="1"/>
  <c r="C48" i="1"/>
  <c r="C21" i="1"/>
  <c r="C22" i="1"/>
  <c r="C51" i="1"/>
  <c r="C16" i="1"/>
  <c r="C39" i="1"/>
  <c r="C35" i="1"/>
  <c r="C44" i="1"/>
  <c r="C37" i="1"/>
  <c r="C49" i="1"/>
  <c r="C5" i="1"/>
  <c r="C45" i="1"/>
  <c r="C8" i="1"/>
  <c r="C23" i="1"/>
  <c r="C18" i="1"/>
  <c r="C40" i="1"/>
  <c r="C24" i="1"/>
  <c r="C47" i="1"/>
  <c r="C4" i="1"/>
  <c r="C19" i="1"/>
  <c r="C6" i="1"/>
  <c r="C9" i="1"/>
  <c r="F52" i="1" l="1"/>
  <c r="G46" i="1"/>
  <c r="H46" i="1" s="1"/>
  <c r="G30" i="1"/>
  <c r="H30" i="1" s="1"/>
  <c r="G19" i="1"/>
  <c r="H19" i="1" s="1"/>
  <c r="G12" i="1"/>
  <c r="H12" i="1" s="1"/>
  <c r="G51" i="1"/>
  <c r="H51" i="1" s="1"/>
  <c r="G44" i="1"/>
  <c r="H44" i="1" s="1"/>
  <c r="G33" i="1"/>
  <c r="H33" i="1" s="1"/>
  <c r="G22" i="1"/>
  <c r="H22" i="1" s="1"/>
  <c r="G14" i="1"/>
  <c r="H14" i="1" s="1"/>
  <c r="G11" i="1"/>
  <c r="H11" i="1" s="1"/>
  <c r="G8" i="1"/>
  <c r="H8" i="1" s="1"/>
  <c r="G3" i="1"/>
  <c r="H3" i="1" s="1"/>
  <c r="G7" i="1"/>
  <c r="H7" i="1" s="1"/>
  <c r="G47" i="1"/>
  <c r="H47" i="1" s="1"/>
  <c r="G48" i="1"/>
  <c r="H48" i="1" s="1"/>
  <c r="G40" i="1"/>
  <c r="H40" i="1" s="1"/>
  <c r="G38" i="1"/>
  <c r="H38" i="1" s="1"/>
  <c r="G28" i="1"/>
  <c r="H28" i="1" s="1"/>
  <c r="G26" i="1"/>
  <c r="H26" i="1" s="1"/>
  <c r="G32" i="1"/>
  <c r="H32" i="1" s="1"/>
  <c r="G18" i="1"/>
  <c r="H18" i="1" s="1"/>
  <c r="G21" i="1"/>
  <c r="H21" i="1" s="1"/>
  <c r="G13" i="1"/>
  <c r="H13" i="1" s="1"/>
  <c r="G20" i="1"/>
  <c r="H20" i="1" s="1"/>
  <c r="G5" i="1"/>
  <c r="H5" i="1" s="1"/>
  <c r="G2" i="1"/>
  <c r="H2" i="1" s="1"/>
</calcChain>
</file>

<file path=xl/sharedStrings.xml><?xml version="1.0" encoding="utf-8"?>
<sst xmlns="http://schemas.openxmlformats.org/spreadsheetml/2006/main" count="66" uniqueCount="66">
  <si>
    <t>Name</t>
  </si>
  <si>
    <t>Month</t>
  </si>
  <si>
    <t>Contact</t>
  </si>
  <si>
    <t>Total days present</t>
  </si>
  <si>
    <t>Group/ Department</t>
  </si>
  <si>
    <t>Attendee 1</t>
  </si>
  <si>
    <t>Attendee 2</t>
  </si>
  <si>
    <t>Attendee 3</t>
  </si>
  <si>
    <t>Attendee 4</t>
  </si>
  <si>
    <t>Attendee 5</t>
  </si>
  <si>
    <t>Attendee 6</t>
  </si>
  <si>
    <t>Attendee 7</t>
  </si>
  <si>
    <t>Attendee 8</t>
  </si>
  <si>
    <t>Attendee 9</t>
  </si>
  <si>
    <t>Attendee 10</t>
  </si>
  <si>
    <t>Attendee 11</t>
  </si>
  <si>
    <t>Attendee 12</t>
  </si>
  <si>
    <t>Attendee 13</t>
  </si>
  <si>
    <t>Attendee 14</t>
  </si>
  <si>
    <t>Attendee 15</t>
  </si>
  <si>
    <t>Attendee 16</t>
  </si>
  <si>
    <t>Attendee 17</t>
  </si>
  <si>
    <t>Attendee 18</t>
  </si>
  <si>
    <t>Attendee 19</t>
  </si>
  <si>
    <t>Attendee 20</t>
  </si>
  <si>
    <t>Attendee 21</t>
  </si>
  <si>
    <t>Attendee 22</t>
  </si>
  <si>
    <t>Attendee 23</t>
  </si>
  <si>
    <t>Attendee 24</t>
  </si>
  <si>
    <t>Attendee 25</t>
  </si>
  <si>
    <t>Attendee 26</t>
  </si>
  <si>
    <t>Attendee 27</t>
  </si>
  <si>
    <t>Attendee 28</t>
  </si>
  <si>
    <t>Attendee 29</t>
  </si>
  <si>
    <t>Attendee 30</t>
  </si>
  <si>
    <t>Attendee 31</t>
  </si>
  <si>
    <t>Attendee 32</t>
  </si>
  <si>
    <t>Attendee 33</t>
  </si>
  <si>
    <t>Attendee 34</t>
  </si>
  <si>
    <t>Attendee 35</t>
  </si>
  <si>
    <t>Attendee 36</t>
  </si>
  <si>
    <t>Attendee 37</t>
  </si>
  <si>
    <t>Attendee 38</t>
  </si>
  <si>
    <t>Attendee 39</t>
  </si>
  <si>
    <t>Attendee 40</t>
  </si>
  <si>
    <t>Attendee 41</t>
  </si>
  <si>
    <t>Attendee 42</t>
  </si>
  <si>
    <t>Attendee 43</t>
  </si>
  <si>
    <t>Attendee 44</t>
  </si>
  <si>
    <t>Attendee 45</t>
  </si>
  <si>
    <t>Attendee 46</t>
  </si>
  <si>
    <t>Attendee 47</t>
  </si>
  <si>
    <t>Attendee 48</t>
  </si>
  <si>
    <t>Attendee 49</t>
  </si>
  <si>
    <t>Attendee 50</t>
  </si>
  <si>
    <t>Actual days present</t>
  </si>
  <si>
    <t>Attendance Percentage</t>
  </si>
  <si>
    <t>Attendance requirement met</t>
  </si>
  <si>
    <t>Row Labels</t>
  </si>
  <si>
    <t>Finance</t>
  </si>
  <si>
    <t>HR</t>
  </si>
  <si>
    <t>IT</t>
  </si>
  <si>
    <t>Marketing</t>
  </si>
  <si>
    <t>Sales</t>
  </si>
  <si>
    <t>Grand Total</t>
  </si>
  <si>
    <t>Average of Attendance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</si>
</sst>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mm/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Arial Black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>
      <alignment horizontal="center" vertical="center" wrapText="1"/>
    </xf>
  </cellStyleXfs>
  <cellXfs count="10">
    <xf numFmtId="0" fontId="0" fillId="0" borderId="0" xfId="0"/>
    <xf numFmtId="0" fontId="3" fillId="0" borderId="0" xfId="0" applyFont="1"/>
    <xf numFmtId="165" fontId="0" fillId="0" borderId="0" xfId="0" applyNumberFormat="1"/>
    <xf numFmtId="0" fontId="2" fillId="2" borderId="2" xfId="0" applyFont="1" applyFill="1" applyBorder="1" applyAlignment="1">
      <alignment horizontal="center" vertical="center" wrapText="1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9" fontId="0" fillId="3" borderId="0" xfId="1" applyFont="1" applyFill="1"/>
    <xf numFmtId="9" fontId="0" fillId="0" borderId="0" xfId="0" applyNumberFormat="1" applyFont="1"/>
  </cellXfs>
  <cellStyles count="3">
    <cellStyle name="Normal" xfId="0" builtinId="0"/>
    <cellStyle name="Percent" xfId="1" builtinId="5"/>
    <cellStyle name="Report Header" xfId="2" xr:uid="{D42AE000-0DB7-4627-9095-50D84B631472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165" formatCode="m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m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Black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0c1822375e5a5ab/Excel%20and%20Copilot%20Fundamentals/Non%20profit%20event%20dataset.xlsx" TargetMode="External"/><Relationship Id="rId1" Type="http://schemas.openxmlformats.org/officeDocument/2006/relationships/externalLinkPath" Target="Non%20profit%20event%20datas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1_ContactInfo"/>
      <sheetName val="List2_Department"/>
      <sheetName val="List3_Details"/>
    </sheetNames>
    <sheetDataSet>
      <sheetData sheetId="0">
        <row r="2">
          <cell r="A2" t="str">
            <v>Attendee 1</v>
          </cell>
          <cell r="B2" t="str">
            <v>attendee1@company.com</v>
          </cell>
        </row>
        <row r="3">
          <cell r="A3" t="str">
            <v>Attendee 2</v>
          </cell>
          <cell r="B3" t="str">
            <v>attendee2@company.com</v>
          </cell>
        </row>
        <row r="4">
          <cell r="A4" t="str">
            <v>Attendee 3</v>
          </cell>
          <cell r="B4" t="str">
            <v>attendee3@company.com</v>
          </cell>
        </row>
        <row r="5">
          <cell r="A5" t="str">
            <v>Attendee 4</v>
          </cell>
          <cell r="B5" t="str">
            <v>attendee4@company.com</v>
          </cell>
        </row>
        <row r="6">
          <cell r="A6" t="str">
            <v>Attendee 5</v>
          </cell>
          <cell r="B6" t="str">
            <v>attendee5@company.com</v>
          </cell>
        </row>
        <row r="7">
          <cell r="A7" t="str">
            <v>Attendee 6</v>
          </cell>
          <cell r="B7" t="str">
            <v>attendee6@company.com</v>
          </cell>
        </row>
        <row r="8">
          <cell r="A8" t="str">
            <v>Attendee 7</v>
          </cell>
          <cell r="B8" t="str">
            <v>attendee7@company.com</v>
          </cell>
        </row>
        <row r="9">
          <cell r="A9" t="str">
            <v>Attendee 8</v>
          </cell>
          <cell r="B9" t="str">
            <v>attendee8@company.com</v>
          </cell>
        </row>
        <row r="10">
          <cell r="A10" t="str">
            <v>Attendee 9</v>
          </cell>
          <cell r="B10" t="str">
            <v>attendee9@company.com</v>
          </cell>
        </row>
        <row r="11">
          <cell r="A11" t="str">
            <v>Attendee 10</v>
          </cell>
          <cell r="B11" t="str">
            <v>attendee10@company.com</v>
          </cell>
        </row>
        <row r="12">
          <cell r="A12" t="str">
            <v>Attendee 11</v>
          </cell>
          <cell r="B12" t="str">
            <v>attendee11@company.com</v>
          </cell>
        </row>
        <row r="13">
          <cell r="A13" t="str">
            <v>Attendee 12</v>
          </cell>
          <cell r="B13" t="str">
            <v>attendee12@company.com</v>
          </cell>
        </row>
        <row r="14">
          <cell r="A14" t="str">
            <v>Attendee 13</v>
          </cell>
          <cell r="B14" t="str">
            <v>attendee13@company.com</v>
          </cell>
        </row>
        <row r="15">
          <cell r="A15" t="str">
            <v>Attendee 14</v>
          </cell>
          <cell r="B15" t="str">
            <v>attendee14@company.com</v>
          </cell>
        </row>
        <row r="16">
          <cell r="A16" t="str">
            <v>Attendee 15</v>
          </cell>
          <cell r="B16" t="str">
            <v>attendee15@company.com</v>
          </cell>
        </row>
        <row r="17">
          <cell r="A17" t="str">
            <v>Attendee 16</v>
          </cell>
          <cell r="B17" t="str">
            <v>attendee16@company.com</v>
          </cell>
        </row>
        <row r="18">
          <cell r="A18" t="str">
            <v>Attendee 17</v>
          </cell>
          <cell r="B18" t="str">
            <v>attendee17@company.com</v>
          </cell>
        </row>
        <row r="19">
          <cell r="A19" t="str">
            <v>Attendee 18</v>
          </cell>
          <cell r="B19" t="str">
            <v>attendee18@company.com</v>
          </cell>
        </row>
        <row r="20">
          <cell r="A20" t="str">
            <v>Attendee 19</v>
          </cell>
          <cell r="B20" t="str">
            <v>attendee19@company.com</v>
          </cell>
        </row>
        <row r="21">
          <cell r="A21" t="str">
            <v>Attendee 20</v>
          </cell>
          <cell r="B21" t="str">
            <v>attendee20@company.com</v>
          </cell>
        </row>
        <row r="22">
          <cell r="A22" t="str">
            <v>Attendee 7</v>
          </cell>
          <cell r="B22" t="str">
            <v>attendee7@company.com</v>
          </cell>
        </row>
        <row r="23">
          <cell r="A23" t="str">
            <v>Attendee 8</v>
          </cell>
          <cell r="B23" t="str">
            <v>attendee8@company.com</v>
          </cell>
        </row>
        <row r="24">
          <cell r="A24" t="str">
            <v>Attendee 9</v>
          </cell>
          <cell r="B24" t="str">
            <v>attendee9@company.com</v>
          </cell>
        </row>
        <row r="25">
          <cell r="A25" t="str">
            <v>Attendee 21</v>
          </cell>
          <cell r="B25" t="str">
            <v>attendee21@company.com</v>
          </cell>
        </row>
        <row r="26">
          <cell r="A26" t="str">
            <v>Attendee 22</v>
          </cell>
          <cell r="B26" t="str">
            <v>attendee22@company.com</v>
          </cell>
        </row>
        <row r="27">
          <cell r="A27" t="str">
            <v>Attendee 23</v>
          </cell>
          <cell r="B27" t="str">
            <v>attendee23@company.com</v>
          </cell>
        </row>
        <row r="28">
          <cell r="A28" t="str">
            <v>Attendee 24</v>
          </cell>
          <cell r="B28" t="str">
            <v>attendee24@company.com</v>
          </cell>
        </row>
        <row r="29">
          <cell r="A29" t="str">
            <v>Attendee 25</v>
          </cell>
          <cell r="B29" t="str">
            <v>attendee25@company.com</v>
          </cell>
        </row>
        <row r="30">
          <cell r="A30" t="str">
            <v>Attendee 26</v>
          </cell>
          <cell r="B30" t="str">
            <v>attendee26@company.com</v>
          </cell>
        </row>
        <row r="31">
          <cell r="A31" t="str">
            <v>Attendee 27</v>
          </cell>
          <cell r="B31" t="str">
            <v>attendee27@company.com</v>
          </cell>
        </row>
        <row r="32">
          <cell r="A32" t="str">
            <v>Attendee 28</v>
          </cell>
          <cell r="B32" t="str">
            <v>attendee28@company.com</v>
          </cell>
        </row>
        <row r="33">
          <cell r="A33" t="str">
            <v>Attendee 29</v>
          </cell>
          <cell r="B33" t="str">
            <v>attendee29@company.com</v>
          </cell>
        </row>
        <row r="34">
          <cell r="A34" t="str">
            <v>Attendee 30</v>
          </cell>
          <cell r="B34" t="str">
            <v>attendee30@company.com</v>
          </cell>
        </row>
        <row r="35">
          <cell r="A35" t="str">
            <v>Attendee 31</v>
          </cell>
          <cell r="B35" t="str">
            <v>attendee31@company.com</v>
          </cell>
        </row>
        <row r="36">
          <cell r="A36" t="str">
            <v>Attendee 32</v>
          </cell>
          <cell r="B36" t="str">
            <v>attendee32@company.com</v>
          </cell>
        </row>
        <row r="37">
          <cell r="A37" t="str">
            <v>Attendee 33</v>
          </cell>
          <cell r="B37" t="str">
            <v>attendee33@company.com</v>
          </cell>
        </row>
        <row r="38">
          <cell r="A38" t="str">
            <v>Attendee 34</v>
          </cell>
          <cell r="B38" t="str">
            <v>attendee34@company.com</v>
          </cell>
        </row>
        <row r="39">
          <cell r="A39" t="str">
            <v>Attendee 35</v>
          </cell>
          <cell r="B39" t="str">
            <v>attendee35@company.com</v>
          </cell>
        </row>
        <row r="40">
          <cell r="A40" t="str">
            <v>Attendee 36</v>
          </cell>
          <cell r="B40" t="str">
            <v>attendee36@company.com</v>
          </cell>
        </row>
        <row r="41">
          <cell r="A41" t="str">
            <v>Attendee 37</v>
          </cell>
          <cell r="B41" t="str">
            <v>attendee37@company.com</v>
          </cell>
        </row>
        <row r="42">
          <cell r="A42" t="str">
            <v>Attendee 38</v>
          </cell>
          <cell r="B42" t="str">
            <v>attendee38@company.com</v>
          </cell>
        </row>
        <row r="43">
          <cell r="A43" t="str">
            <v>Attendee 39</v>
          </cell>
          <cell r="B43" t="str">
            <v>attendee39@company.com</v>
          </cell>
        </row>
        <row r="44">
          <cell r="A44" t="str">
            <v>Attendee 40</v>
          </cell>
          <cell r="B44" t="str">
            <v>attendee40@company.com</v>
          </cell>
        </row>
        <row r="45">
          <cell r="A45" t="str">
            <v>Attendee 41</v>
          </cell>
          <cell r="B45" t="str">
            <v>attendee41@company.com</v>
          </cell>
        </row>
        <row r="46">
          <cell r="A46" t="str">
            <v>Attendee 42</v>
          </cell>
          <cell r="B46" t="str">
            <v>attendee42@company.com</v>
          </cell>
        </row>
        <row r="47">
          <cell r="A47" t="str">
            <v>Attendee 43</v>
          </cell>
          <cell r="B47" t="str">
            <v>attendee43@company.com</v>
          </cell>
        </row>
        <row r="48">
          <cell r="A48" t="str">
            <v>Attendee 28</v>
          </cell>
          <cell r="B48" t="str">
            <v>attendee28@company.com</v>
          </cell>
        </row>
        <row r="49">
          <cell r="A49" t="str">
            <v>Attendee 29</v>
          </cell>
          <cell r="B49" t="str">
            <v>attendee29@company.com</v>
          </cell>
        </row>
        <row r="50">
          <cell r="A50" t="str">
            <v>Attendee 30</v>
          </cell>
          <cell r="B50" t="str">
            <v>attendee30@company.com</v>
          </cell>
        </row>
        <row r="51">
          <cell r="A51" t="str">
            <v>Attendee 31</v>
          </cell>
          <cell r="B51" t="str">
            <v>attendee31@company.com</v>
          </cell>
        </row>
        <row r="52">
          <cell r="A52" t="str">
            <v>Attendee 44</v>
          </cell>
          <cell r="B52" t="str">
            <v>attendee44@company.com</v>
          </cell>
        </row>
        <row r="53">
          <cell r="A53" t="str">
            <v>Attendee 45</v>
          </cell>
          <cell r="B53" t="str">
            <v>attendee45@company.com</v>
          </cell>
        </row>
        <row r="54">
          <cell r="A54" t="str">
            <v>Attendee 46</v>
          </cell>
          <cell r="B54" t="str">
            <v>attendee46@company.com</v>
          </cell>
        </row>
        <row r="55">
          <cell r="A55" t="str">
            <v>Attendee 47</v>
          </cell>
          <cell r="B55" t="str">
            <v>attendee47@company.com</v>
          </cell>
        </row>
        <row r="56">
          <cell r="A56" t="str">
            <v>Attendee 48</v>
          </cell>
          <cell r="B56" t="str">
            <v>attendee48@company.com</v>
          </cell>
        </row>
        <row r="57">
          <cell r="A57" t="str">
            <v>Attendee 49</v>
          </cell>
          <cell r="B57" t="str">
            <v>attendee49@company.com</v>
          </cell>
        </row>
        <row r="58">
          <cell r="A58" t="str">
            <v>Attendee 50</v>
          </cell>
          <cell r="B58" t="str">
            <v>attendee50@company.com</v>
          </cell>
        </row>
      </sheetData>
      <sheetData sheetId="1">
        <row r="1">
          <cell r="A1" t="str">
            <v>Name</v>
          </cell>
          <cell r="B1" t="str">
            <v>Department</v>
          </cell>
        </row>
        <row r="2">
          <cell r="A2" t="str">
            <v>Attendee 1</v>
          </cell>
          <cell r="B2" t="str">
            <v>Marketing</v>
          </cell>
        </row>
        <row r="3">
          <cell r="A3" t="str">
            <v>Attendee 2</v>
          </cell>
          <cell r="B3" t="str">
            <v>Sales</v>
          </cell>
        </row>
        <row r="4">
          <cell r="A4" t="str">
            <v>Attendee 3</v>
          </cell>
          <cell r="B4" t="str">
            <v>HR</v>
          </cell>
        </row>
        <row r="5">
          <cell r="A5" t="str">
            <v>Attendee 4</v>
          </cell>
          <cell r="B5" t="str">
            <v>IT</v>
          </cell>
        </row>
        <row r="6">
          <cell r="A6" t="str">
            <v>Attendee 5</v>
          </cell>
          <cell r="B6" t="str">
            <v>Finance</v>
          </cell>
        </row>
        <row r="7">
          <cell r="A7" t="str">
            <v>Attendee 6</v>
          </cell>
          <cell r="B7" t="str">
            <v>Marketing</v>
          </cell>
        </row>
        <row r="8">
          <cell r="A8" t="str">
            <v>Attendee 7</v>
          </cell>
          <cell r="B8" t="str">
            <v>Sales</v>
          </cell>
        </row>
        <row r="9">
          <cell r="A9" t="str">
            <v>Attendee 8</v>
          </cell>
          <cell r="B9" t="str">
            <v>HR</v>
          </cell>
        </row>
        <row r="10">
          <cell r="A10" t="str">
            <v>Attendee 9</v>
          </cell>
          <cell r="B10" t="str">
            <v>IT</v>
          </cell>
        </row>
        <row r="11">
          <cell r="A11" t="str">
            <v>Attendee 10</v>
          </cell>
          <cell r="B11" t="str">
            <v>Finance</v>
          </cell>
        </row>
        <row r="12">
          <cell r="A12" t="str">
            <v>Attendee 11</v>
          </cell>
          <cell r="B12" t="str">
            <v>Marketing</v>
          </cell>
        </row>
        <row r="13">
          <cell r="A13" t="str">
            <v>Attendee 12</v>
          </cell>
          <cell r="B13" t="str">
            <v>Sales</v>
          </cell>
        </row>
        <row r="14">
          <cell r="A14" t="str">
            <v>Attendee 13</v>
          </cell>
          <cell r="B14" t="str">
            <v>HR</v>
          </cell>
        </row>
        <row r="15">
          <cell r="A15" t="str">
            <v>Attendee 14</v>
          </cell>
          <cell r="B15" t="str">
            <v>IT</v>
          </cell>
        </row>
        <row r="16">
          <cell r="A16" t="str">
            <v>Attendee 15</v>
          </cell>
          <cell r="B16" t="str">
            <v>Finance</v>
          </cell>
        </row>
        <row r="17">
          <cell r="A17" t="str">
            <v>Attendee 16</v>
          </cell>
          <cell r="B17" t="str">
            <v>Marketing</v>
          </cell>
        </row>
        <row r="18">
          <cell r="A18" t="str">
            <v>Attendee 17</v>
          </cell>
          <cell r="B18" t="str">
            <v>Sales</v>
          </cell>
        </row>
        <row r="19">
          <cell r="A19" t="str">
            <v>Attendee 18</v>
          </cell>
          <cell r="B19" t="str">
            <v>HR</v>
          </cell>
        </row>
        <row r="20">
          <cell r="A20" t="str">
            <v>Attendee 19</v>
          </cell>
          <cell r="B20" t="str">
            <v>IT</v>
          </cell>
        </row>
        <row r="21">
          <cell r="A21" t="str">
            <v>Attendee 20</v>
          </cell>
          <cell r="B21" t="str">
            <v>Finance</v>
          </cell>
        </row>
        <row r="22">
          <cell r="A22" t="str">
            <v>Attendee 21</v>
          </cell>
          <cell r="B22" t="str">
            <v>Marketing</v>
          </cell>
        </row>
        <row r="23">
          <cell r="A23" t="str">
            <v>Attendee 22</v>
          </cell>
          <cell r="B23" t="str">
            <v>Sales</v>
          </cell>
        </row>
        <row r="24">
          <cell r="A24" t="str">
            <v>Attendee 23</v>
          </cell>
          <cell r="B24" t="str">
            <v>HR</v>
          </cell>
        </row>
        <row r="25">
          <cell r="A25" t="str">
            <v>Attendee 24</v>
          </cell>
          <cell r="B25" t="str">
            <v>IT</v>
          </cell>
        </row>
        <row r="26">
          <cell r="A26" t="str">
            <v>Attendee 25</v>
          </cell>
          <cell r="B26" t="str">
            <v>Finance</v>
          </cell>
        </row>
        <row r="27">
          <cell r="A27" t="str">
            <v>Attendee 26</v>
          </cell>
          <cell r="B27" t="str">
            <v>Marketing</v>
          </cell>
        </row>
        <row r="28">
          <cell r="A28" t="str">
            <v>Attendee 27</v>
          </cell>
          <cell r="B28" t="str">
            <v>Sales</v>
          </cell>
        </row>
        <row r="29">
          <cell r="A29" t="str">
            <v>Attendee 28</v>
          </cell>
          <cell r="B29" t="str">
            <v>HR</v>
          </cell>
        </row>
        <row r="30">
          <cell r="A30" t="str">
            <v>Attendee 29</v>
          </cell>
          <cell r="B30" t="str">
            <v>IT</v>
          </cell>
        </row>
        <row r="31">
          <cell r="A31" t="str">
            <v>Attendee 30</v>
          </cell>
          <cell r="B31" t="str">
            <v>Finance</v>
          </cell>
        </row>
        <row r="32">
          <cell r="A32" t="str">
            <v>Attendee 31</v>
          </cell>
          <cell r="B32" t="str">
            <v>Marketing</v>
          </cell>
        </row>
        <row r="33">
          <cell r="A33" t="str">
            <v>Attendee 32</v>
          </cell>
          <cell r="B33" t="str">
            <v>Sales</v>
          </cell>
        </row>
        <row r="34">
          <cell r="A34" t="str">
            <v>Attendee 33</v>
          </cell>
          <cell r="B34" t="str">
            <v>HR</v>
          </cell>
        </row>
        <row r="35">
          <cell r="A35" t="str">
            <v>Attendee 34</v>
          </cell>
          <cell r="B35" t="str">
            <v>IT</v>
          </cell>
        </row>
        <row r="36">
          <cell r="A36" t="str">
            <v>Attendee 35</v>
          </cell>
          <cell r="B36" t="str">
            <v>Finance</v>
          </cell>
        </row>
        <row r="37">
          <cell r="A37" t="str">
            <v>Attendee 36</v>
          </cell>
          <cell r="B37" t="str">
            <v>Marketing</v>
          </cell>
        </row>
        <row r="38">
          <cell r="A38" t="str">
            <v>Attendee 37</v>
          </cell>
          <cell r="B38" t="str">
            <v>Sales</v>
          </cell>
        </row>
        <row r="39">
          <cell r="A39" t="str">
            <v>Attendee 38</v>
          </cell>
          <cell r="B39" t="str">
            <v>HR</v>
          </cell>
        </row>
        <row r="40">
          <cell r="A40" t="str">
            <v>Attendee 39</v>
          </cell>
          <cell r="B40" t="str">
            <v>IT</v>
          </cell>
        </row>
        <row r="41">
          <cell r="A41" t="str">
            <v>Attendee 40</v>
          </cell>
          <cell r="B41" t="str">
            <v>Finance</v>
          </cell>
        </row>
        <row r="42">
          <cell r="A42" t="str">
            <v>Attendee 41</v>
          </cell>
          <cell r="B42" t="str">
            <v>Marketing</v>
          </cell>
        </row>
        <row r="43">
          <cell r="A43" t="str">
            <v>Attendee 42</v>
          </cell>
          <cell r="B43" t="str">
            <v>Sales</v>
          </cell>
        </row>
        <row r="44">
          <cell r="A44" t="str">
            <v>Attendee 43</v>
          </cell>
          <cell r="B44" t="str">
            <v>HR</v>
          </cell>
        </row>
        <row r="45">
          <cell r="A45" t="str">
            <v>Attendee 44</v>
          </cell>
          <cell r="B45" t="str">
            <v>IT</v>
          </cell>
        </row>
        <row r="46">
          <cell r="A46" t="str">
            <v>Attendee 45</v>
          </cell>
          <cell r="B46" t="str">
            <v>Finance</v>
          </cell>
        </row>
        <row r="47">
          <cell r="A47" t="str">
            <v>Attendee 46</v>
          </cell>
          <cell r="B47" t="str">
            <v>Marketing</v>
          </cell>
        </row>
        <row r="48">
          <cell r="A48" t="str">
            <v>Attendee 47</v>
          </cell>
          <cell r="B48" t="str">
            <v>Sales</v>
          </cell>
        </row>
        <row r="49">
          <cell r="A49" t="str">
            <v>Attendee 48</v>
          </cell>
          <cell r="B49" t="str">
            <v>HR</v>
          </cell>
        </row>
        <row r="50">
          <cell r="A50" t="str">
            <v>Attendee 49</v>
          </cell>
          <cell r="B50" t="str">
            <v>IT</v>
          </cell>
        </row>
        <row r="51">
          <cell r="A51" t="str">
            <v>Attendee 50</v>
          </cell>
          <cell r="B51" t="str">
            <v>Finance</v>
          </cell>
        </row>
      </sheetData>
      <sheetData sheetId="2">
        <row r="2">
          <cell r="A2" t="str">
            <v>Attendee 1</v>
          </cell>
          <cell r="D2">
            <v>1</v>
          </cell>
        </row>
        <row r="3">
          <cell r="A3" t="str">
            <v>Attendee 1</v>
          </cell>
          <cell r="D3">
            <v>0</v>
          </cell>
        </row>
        <row r="4">
          <cell r="A4" t="str">
            <v>Attendee 1</v>
          </cell>
          <cell r="D4">
            <v>0</v>
          </cell>
        </row>
        <row r="5">
          <cell r="A5" t="str">
            <v>Attendee 1</v>
          </cell>
          <cell r="D5">
            <v>1</v>
          </cell>
        </row>
        <row r="6">
          <cell r="A6" t="str">
            <v>Attendee 1</v>
          </cell>
          <cell r="D6">
            <v>0</v>
          </cell>
        </row>
        <row r="7">
          <cell r="A7" t="str">
            <v>Attendee 10</v>
          </cell>
          <cell r="D7">
            <v>0</v>
          </cell>
        </row>
        <row r="8">
          <cell r="A8" t="str">
            <v>Attendee 10</v>
          </cell>
          <cell r="D8">
            <v>1</v>
          </cell>
        </row>
        <row r="9">
          <cell r="A9" t="str">
            <v>Attendee 10</v>
          </cell>
          <cell r="D9">
            <v>1</v>
          </cell>
        </row>
        <row r="10">
          <cell r="A10" t="str">
            <v>Attendee 10</v>
          </cell>
          <cell r="D10">
            <v>0</v>
          </cell>
        </row>
        <row r="11">
          <cell r="A11" t="str">
            <v>Attendee 10</v>
          </cell>
          <cell r="D11">
            <v>0</v>
          </cell>
        </row>
        <row r="12">
          <cell r="A12" t="str">
            <v>Attendee 11</v>
          </cell>
          <cell r="D12">
            <v>1</v>
          </cell>
        </row>
        <row r="13">
          <cell r="A13" t="str">
            <v>Attendee 11</v>
          </cell>
          <cell r="D13">
            <v>0</v>
          </cell>
        </row>
        <row r="14">
          <cell r="A14" t="str">
            <v>Attendee 11</v>
          </cell>
          <cell r="D14">
            <v>1</v>
          </cell>
        </row>
        <row r="15">
          <cell r="A15" t="str">
            <v>Attendee 11</v>
          </cell>
          <cell r="D15">
            <v>1</v>
          </cell>
        </row>
        <row r="16">
          <cell r="A16" t="str">
            <v>Attendee 11</v>
          </cell>
          <cell r="D16">
            <v>0</v>
          </cell>
        </row>
        <row r="17">
          <cell r="A17" t="str">
            <v>Attendee 12</v>
          </cell>
          <cell r="D17">
            <v>0</v>
          </cell>
        </row>
        <row r="18">
          <cell r="A18" t="str">
            <v>Attendee 12</v>
          </cell>
          <cell r="D18">
            <v>0</v>
          </cell>
        </row>
        <row r="19">
          <cell r="A19" t="str">
            <v>Attendee 12</v>
          </cell>
          <cell r="D19">
            <v>0</v>
          </cell>
        </row>
        <row r="20">
          <cell r="A20" t="str">
            <v>Attendee 12</v>
          </cell>
          <cell r="D20">
            <v>0</v>
          </cell>
        </row>
        <row r="21">
          <cell r="A21" t="str">
            <v>Attendee 12</v>
          </cell>
          <cell r="D21">
            <v>0</v>
          </cell>
        </row>
        <row r="22">
          <cell r="A22" t="str">
            <v>Attendee 13</v>
          </cell>
          <cell r="D22">
            <v>1</v>
          </cell>
        </row>
        <row r="23">
          <cell r="A23" t="str">
            <v>Attendee 13</v>
          </cell>
          <cell r="D23">
            <v>1</v>
          </cell>
        </row>
        <row r="24">
          <cell r="A24" t="str">
            <v>Attendee 13</v>
          </cell>
          <cell r="D24">
            <v>0</v>
          </cell>
        </row>
        <row r="25">
          <cell r="A25" t="str">
            <v>Attendee 13</v>
          </cell>
          <cell r="D25">
            <v>0</v>
          </cell>
        </row>
        <row r="26">
          <cell r="A26" t="str">
            <v>Attendee 13</v>
          </cell>
          <cell r="D26">
            <v>1</v>
          </cell>
        </row>
        <row r="27">
          <cell r="A27" t="str">
            <v>Attendee 14</v>
          </cell>
          <cell r="D27">
            <v>0</v>
          </cell>
        </row>
        <row r="28">
          <cell r="A28" t="str">
            <v>Attendee 14</v>
          </cell>
          <cell r="D28">
            <v>1</v>
          </cell>
        </row>
        <row r="29">
          <cell r="A29" t="str">
            <v>Attendee 14</v>
          </cell>
          <cell r="D29">
            <v>0</v>
          </cell>
        </row>
        <row r="30">
          <cell r="A30" t="str">
            <v>Attendee 14</v>
          </cell>
          <cell r="D30">
            <v>1</v>
          </cell>
        </row>
        <row r="31">
          <cell r="A31" t="str">
            <v>Attendee 14</v>
          </cell>
          <cell r="D31">
            <v>1</v>
          </cell>
        </row>
        <row r="32">
          <cell r="A32" t="str">
            <v>Attendee 15</v>
          </cell>
          <cell r="D32">
            <v>1</v>
          </cell>
        </row>
        <row r="33">
          <cell r="A33" t="str">
            <v>Attendee 15</v>
          </cell>
          <cell r="D33">
            <v>1</v>
          </cell>
        </row>
        <row r="34">
          <cell r="A34" t="str">
            <v>Attendee 15</v>
          </cell>
          <cell r="D34">
            <v>0</v>
          </cell>
        </row>
        <row r="35">
          <cell r="A35" t="str">
            <v>Attendee 15</v>
          </cell>
          <cell r="D35">
            <v>1</v>
          </cell>
        </row>
        <row r="36">
          <cell r="A36" t="str">
            <v>Attendee 15</v>
          </cell>
          <cell r="D36">
            <v>0</v>
          </cell>
        </row>
        <row r="37">
          <cell r="A37" t="str">
            <v>Attendee 16</v>
          </cell>
          <cell r="D37">
            <v>0</v>
          </cell>
        </row>
        <row r="38">
          <cell r="A38" t="str">
            <v>Attendee 16</v>
          </cell>
          <cell r="D38">
            <v>0</v>
          </cell>
        </row>
        <row r="39">
          <cell r="A39" t="str">
            <v>Attendee 16</v>
          </cell>
          <cell r="D39">
            <v>0</v>
          </cell>
        </row>
        <row r="40">
          <cell r="A40" t="str">
            <v>Attendee 16</v>
          </cell>
          <cell r="D40">
            <v>1</v>
          </cell>
        </row>
        <row r="41">
          <cell r="A41" t="str">
            <v>Attendee 16</v>
          </cell>
          <cell r="D41">
            <v>1</v>
          </cell>
        </row>
        <row r="42">
          <cell r="A42" t="str">
            <v>Attendee 17</v>
          </cell>
          <cell r="D42">
            <v>1</v>
          </cell>
        </row>
        <row r="43">
          <cell r="A43" t="str">
            <v>Attendee 17</v>
          </cell>
          <cell r="D43">
            <v>0</v>
          </cell>
        </row>
        <row r="44">
          <cell r="A44" t="str">
            <v>Attendee 17</v>
          </cell>
          <cell r="D44">
            <v>1</v>
          </cell>
        </row>
        <row r="45">
          <cell r="A45" t="str">
            <v>Attendee 17</v>
          </cell>
          <cell r="D45">
            <v>0</v>
          </cell>
        </row>
        <row r="46">
          <cell r="A46" t="str">
            <v>Attendee 17</v>
          </cell>
          <cell r="D46">
            <v>1</v>
          </cell>
        </row>
        <row r="47">
          <cell r="A47" t="str">
            <v>Attendee 18</v>
          </cell>
          <cell r="D47">
            <v>0</v>
          </cell>
        </row>
        <row r="48">
          <cell r="A48" t="str">
            <v>Attendee 18</v>
          </cell>
          <cell r="D48">
            <v>1</v>
          </cell>
        </row>
        <row r="49">
          <cell r="A49" t="str">
            <v>Attendee 18</v>
          </cell>
          <cell r="D49">
            <v>1</v>
          </cell>
        </row>
        <row r="50">
          <cell r="A50" t="str">
            <v>Attendee 18</v>
          </cell>
          <cell r="D50">
            <v>0</v>
          </cell>
        </row>
        <row r="51">
          <cell r="A51" t="str">
            <v>Attendee 18</v>
          </cell>
          <cell r="D51">
            <v>1</v>
          </cell>
        </row>
        <row r="52">
          <cell r="A52" t="str">
            <v>Attendee 19</v>
          </cell>
          <cell r="D52">
            <v>1</v>
          </cell>
        </row>
        <row r="53">
          <cell r="A53" t="str">
            <v>Attendee 19</v>
          </cell>
          <cell r="D53">
            <v>1</v>
          </cell>
        </row>
        <row r="54">
          <cell r="A54" t="str">
            <v>Attendee 19</v>
          </cell>
          <cell r="D54">
            <v>1</v>
          </cell>
        </row>
        <row r="55">
          <cell r="A55" t="str">
            <v>Attendee 19</v>
          </cell>
          <cell r="D55">
            <v>0</v>
          </cell>
        </row>
        <row r="56">
          <cell r="A56" t="str">
            <v>Attendee 19</v>
          </cell>
          <cell r="D56">
            <v>0</v>
          </cell>
        </row>
        <row r="57">
          <cell r="A57" t="str">
            <v>Attendee 2</v>
          </cell>
          <cell r="D57">
            <v>0</v>
          </cell>
        </row>
        <row r="58">
          <cell r="A58" t="str">
            <v>Attendee 2</v>
          </cell>
          <cell r="D58">
            <v>1</v>
          </cell>
        </row>
        <row r="59">
          <cell r="A59" t="str">
            <v>Attendee 2</v>
          </cell>
          <cell r="D59">
            <v>1</v>
          </cell>
        </row>
        <row r="60">
          <cell r="A60" t="str">
            <v>Attendee 2</v>
          </cell>
          <cell r="D60">
            <v>1</v>
          </cell>
        </row>
        <row r="61">
          <cell r="A61" t="str">
            <v>Attendee 2</v>
          </cell>
          <cell r="D61">
            <v>0</v>
          </cell>
        </row>
        <row r="62">
          <cell r="A62" t="str">
            <v>Attendee 20</v>
          </cell>
          <cell r="D62">
            <v>0</v>
          </cell>
        </row>
        <row r="63">
          <cell r="A63" t="str">
            <v>Attendee 20</v>
          </cell>
          <cell r="D63">
            <v>0</v>
          </cell>
        </row>
        <row r="64">
          <cell r="A64" t="str">
            <v>Attendee 20</v>
          </cell>
          <cell r="D64">
            <v>0</v>
          </cell>
        </row>
        <row r="65">
          <cell r="A65" t="str">
            <v>Attendee 20</v>
          </cell>
          <cell r="D65">
            <v>1</v>
          </cell>
        </row>
        <row r="66">
          <cell r="A66" t="str">
            <v>Attendee 20</v>
          </cell>
          <cell r="D66">
            <v>1</v>
          </cell>
        </row>
        <row r="67">
          <cell r="A67" t="str">
            <v>Attendee 21</v>
          </cell>
          <cell r="D67">
            <v>1</v>
          </cell>
        </row>
        <row r="68">
          <cell r="A68" t="str">
            <v>Attendee 21</v>
          </cell>
          <cell r="D68">
            <v>0</v>
          </cell>
        </row>
        <row r="69">
          <cell r="A69" t="str">
            <v>Attendee 21</v>
          </cell>
          <cell r="D69">
            <v>1</v>
          </cell>
        </row>
        <row r="70">
          <cell r="A70" t="str">
            <v>Attendee 21</v>
          </cell>
          <cell r="D70">
            <v>0</v>
          </cell>
        </row>
        <row r="71">
          <cell r="A71" t="str">
            <v>Attendee 21</v>
          </cell>
          <cell r="D71">
            <v>1</v>
          </cell>
        </row>
        <row r="72">
          <cell r="A72" t="str">
            <v>Attendee 22</v>
          </cell>
          <cell r="D72">
            <v>0</v>
          </cell>
        </row>
        <row r="73">
          <cell r="A73" t="str">
            <v>Attendee 22</v>
          </cell>
          <cell r="D73">
            <v>1</v>
          </cell>
        </row>
        <row r="74">
          <cell r="A74" t="str">
            <v>Attendee 22</v>
          </cell>
          <cell r="D74">
            <v>0</v>
          </cell>
        </row>
        <row r="75">
          <cell r="A75" t="str">
            <v>Attendee 22</v>
          </cell>
          <cell r="D75">
            <v>0</v>
          </cell>
        </row>
        <row r="76">
          <cell r="A76" t="str">
            <v>Attendee 22</v>
          </cell>
          <cell r="D76">
            <v>0</v>
          </cell>
        </row>
        <row r="77">
          <cell r="A77" t="str">
            <v>Attendee 23</v>
          </cell>
          <cell r="D77">
            <v>1</v>
          </cell>
        </row>
        <row r="78">
          <cell r="A78" t="str">
            <v>Attendee 23</v>
          </cell>
          <cell r="D78">
            <v>1</v>
          </cell>
        </row>
        <row r="79">
          <cell r="A79" t="str">
            <v>Attendee 23</v>
          </cell>
          <cell r="D79">
            <v>0</v>
          </cell>
        </row>
        <row r="80">
          <cell r="A80" t="str">
            <v>Attendee 23</v>
          </cell>
          <cell r="D80">
            <v>1</v>
          </cell>
        </row>
        <row r="81">
          <cell r="A81" t="str">
            <v>Attendee 23</v>
          </cell>
          <cell r="D81">
            <v>0</v>
          </cell>
        </row>
        <row r="82">
          <cell r="A82" t="str">
            <v>Attendee 24</v>
          </cell>
          <cell r="D82">
            <v>0</v>
          </cell>
        </row>
        <row r="83">
          <cell r="A83" t="str">
            <v>Attendee 24</v>
          </cell>
          <cell r="D83">
            <v>1</v>
          </cell>
        </row>
        <row r="84">
          <cell r="A84" t="str">
            <v>Attendee 24</v>
          </cell>
          <cell r="D84">
            <v>1</v>
          </cell>
        </row>
        <row r="85">
          <cell r="A85" t="str">
            <v>Attendee 24</v>
          </cell>
          <cell r="D85">
            <v>0</v>
          </cell>
        </row>
        <row r="86">
          <cell r="A86" t="str">
            <v>Attendee 24</v>
          </cell>
          <cell r="D86">
            <v>0</v>
          </cell>
        </row>
        <row r="87">
          <cell r="A87" t="str">
            <v>Attendee 25</v>
          </cell>
          <cell r="D87">
            <v>1</v>
          </cell>
        </row>
        <row r="88">
          <cell r="A88" t="str">
            <v>Attendee 25</v>
          </cell>
          <cell r="D88">
            <v>0</v>
          </cell>
        </row>
        <row r="89">
          <cell r="A89" t="str">
            <v>Attendee 25</v>
          </cell>
          <cell r="D89">
            <v>0</v>
          </cell>
        </row>
        <row r="90">
          <cell r="A90" t="str">
            <v>Attendee 25</v>
          </cell>
          <cell r="D90">
            <v>1</v>
          </cell>
        </row>
        <row r="91">
          <cell r="A91" t="str">
            <v>Attendee 25</v>
          </cell>
          <cell r="D91">
            <v>0</v>
          </cell>
        </row>
        <row r="92">
          <cell r="A92" t="str">
            <v>Attendee 26</v>
          </cell>
          <cell r="D92">
            <v>0</v>
          </cell>
        </row>
        <row r="93">
          <cell r="A93" t="str">
            <v>Attendee 26</v>
          </cell>
          <cell r="D93">
            <v>1</v>
          </cell>
        </row>
        <row r="94">
          <cell r="A94" t="str">
            <v>Attendee 26</v>
          </cell>
          <cell r="D94">
            <v>0</v>
          </cell>
        </row>
        <row r="95">
          <cell r="A95" t="str">
            <v>Attendee 26</v>
          </cell>
          <cell r="D95">
            <v>0</v>
          </cell>
        </row>
        <row r="96">
          <cell r="A96" t="str">
            <v>Attendee 26</v>
          </cell>
          <cell r="D96">
            <v>1</v>
          </cell>
        </row>
        <row r="97">
          <cell r="A97" t="str">
            <v>Attendee 27</v>
          </cell>
          <cell r="D97">
            <v>1</v>
          </cell>
        </row>
        <row r="98">
          <cell r="A98" t="str">
            <v>Attendee 27</v>
          </cell>
          <cell r="D98">
            <v>1</v>
          </cell>
        </row>
        <row r="99">
          <cell r="A99" t="str">
            <v>Attendee 27</v>
          </cell>
          <cell r="D99">
            <v>0</v>
          </cell>
        </row>
        <row r="100">
          <cell r="A100" t="str">
            <v>Attendee 27</v>
          </cell>
          <cell r="D100">
            <v>1</v>
          </cell>
        </row>
        <row r="101">
          <cell r="A101" t="str">
            <v>Attendee 27</v>
          </cell>
          <cell r="D101">
            <v>1</v>
          </cell>
        </row>
        <row r="102">
          <cell r="A102" t="str">
            <v>Attendee 28</v>
          </cell>
          <cell r="D102">
            <v>0</v>
          </cell>
        </row>
        <row r="103">
          <cell r="A103" t="str">
            <v>Attendee 28</v>
          </cell>
          <cell r="D103">
            <v>0</v>
          </cell>
        </row>
        <row r="104">
          <cell r="A104" t="str">
            <v>Attendee 28</v>
          </cell>
          <cell r="D104">
            <v>0</v>
          </cell>
        </row>
        <row r="105">
          <cell r="A105" t="str">
            <v>Attendee 28</v>
          </cell>
          <cell r="D105">
            <v>0</v>
          </cell>
        </row>
        <row r="106">
          <cell r="A106" t="str">
            <v>Attendee 28</v>
          </cell>
          <cell r="D106">
            <v>0</v>
          </cell>
        </row>
        <row r="107">
          <cell r="A107" t="str">
            <v>Attendee 29</v>
          </cell>
          <cell r="D107">
            <v>1</v>
          </cell>
        </row>
        <row r="108">
          <cell r="A108" t="str">
            <v>Attendee 29</v>
          </cell>
          <cell r="D108">
            <v>0</v>
          </cell>
        </row>
        <row r="109">
          <cell r="A109" t="str">
            <v>Attendee 29</v>
          </cell>
          <cell r="D109">
            <v>0</v>
          </cell>
        </row>
        <row r="110">
          <cell r="A110" t="str">
            <v>Attendee 29</v>
          </cell>
          <cell r="D110">
            <v>1</v>
          </cell>
        </row>
        <row r="111">
          <cell r="A111" t="str">
            <v>Attendee 29</v>
          </cell>
          <cell r="D111">
            <v>1</v>
          </cell>
        </row>
        <row r="112">
          <cell r="A112" t="str">
            <v>Attendee 3</v>
          </cell>
          <cell r="D112">
            <v>1</v>
          </cell>
        </row>
        <row r="113">
          <cell r="A113" t="str">
            <v>Attendee 3</v>
          </cell>
          <cell r="D113">
            <v>0</v>
          </cell>
        </row>
        <row r="114">
          <cell r="A114" t="str">
            <v>Attendee 3</v>
          </cell>
          <cell r="D114">
            <v>1</v>
          </cell>
        </row>
        <row r="115">
          <cell r="A115" t="str">
            <v>Attendee 3</v>
          </cell>
          <cell r="D115">
            <v>0</v>
          </cell>
        </row>
        <row r="116">
          <cell r="A116" t="str">
            <v>Attendee 3</v>
          </cell>
          <cell r="D116">
            <v>0</v>
          </cell>
        </row>
        <row r="117">
          <cell r="A117" t="str">
            <v>Attendee 30</v>
          </cell>
          <cell r="D117">
            <v>0</v>
          </cell>
        </row>
        <row r="118">
          <cell r="A118" t="str">
            <v>Attendee 30</v>
          </cell>
          <cell r="D118">
            <v>1</v>
          </cell>
        </row>
        <row r="119">
          <cell r="A119" t="str">
            <v>Attendee 30</v>
          </cell>
          <cell r="D119">
            <v>1</v>
          </cell>
        </row>
        <row r="120">
          <cell r="A120" t="str">
            <v>Attendee 30</v>
          </cell>
          <cell r="D120">
            <v>1</v>
          </cell>
        </row>
        <row r="121">
          <cell r="A121" t="str">
            <v>Attendee 30</v>
          </cell>
          <cell r="D121">
            <v>1</v>
          </cell>
        </row>
        <row r="122">
          <cell r="A122" t="str">
            <v>Attendee 31</v>
          </cell>
          <cell r="D122">
            <v>1</v>
          </cell>
        </row>
        <row r="123">
          <cell r="A123" t="str">
            <v>Attendee 31</v>
          </cell>
          <cell r="D123">
            <v>0</v>
          </cell>
        </row>
        <row r="124">
          <cell r="A124" t="str">
            <v>Attendee 31</v>
          </cell>
          <cell r="D124">
            <v>0</v>
          </cell>
        </row>
        <row r="125">
          <cell r="A125" t="str">
            <v>Attendee 31</v>
          </cell>
          <cell r="D125">
            <v>1</v>
          </cell>
        </row>
        <row r="126">
          <cell r="A126" t="str">
            <v>Attendee 31</v>
          </cell>
          <cell r="D126">
            <v>0</v>
          </cell>
        </row>
        <row r="127">
          <cell r="A127" t="str">
            <v>Attendee 32</v>
          </cell>
          <cell r="D127">
            <v>0</v>
          </cell>
        </row>
        <row r="128">
          <cell r="A128" t="str">
            <v>Attendee 32</v>
          </cell>
          <cell r="D128">
            <v>0</v>
          </cell>
        </row>
        <row r="129">
          <cell r="A129" t="str">
            <v>Attendee 32</v>
          </cell>
          <cell r="D129">
            <v>0</v>
          </cell>
        </row>
        <row r="130">
          <cell r="A130" t="str">
            <v>Attendee 32</v>
          </cell>
          <cell r="D130">
            <v>1</v>
          </cell>
        </row>
        <row r="131">
          <cell r="A131" t="str">
            <v>Attendee 32</v>
          </cell>
          <cell r="D131">
            <v>1</v>
          </cell>
        </row>
        <row r="132">
          <cell r="A132" t="str">
            <v>Attendee 33</v>
          </cell>
          <cell r="D132">
            <v>1</v>
          </cell>
        </row>
        <row r="133">
          <cell r="A133" t="str">
            <v>Attendee 33</v>
          </cell>
          <cell r="D133">
            <v>1</v>
          </cell>
        </row>
        <row r="134">
          <cell r="A134" t="str">
            <v>Attendee 33</v>
          </cell>
          <cell r="D134">
            <v>1</v>
          </cell>
        </row>
        <row r="135">
          <cell r="A135" t="str">
            <v>Attendee 33</v>
          </cell>
          <cell r="D135">
            <v>1</v>
          </cell>
        </row>
        <row r="136">
          <cell r="A136" t="str">
            <v>Attendee 33</v>
          </cell>
          <cell r="D136">
            <v>1</v>
          </cell>
        </row>
        <row r="137">
          <cell r="A137" t="str">
            <v>Attendee 34</v>
          </cell>
          <cell r="D137">
            <v>0</v>
          </cell>
        </row>
        <row r="138">
          <cell r="A138" t="str">
            <v>Attendee 34</v>
          </cell>
          <cell r="D138">
            <v>0</v>
          </cell>
        </row>
        <row r="139">
          <cell r="A139" t="str">
            <v>Attendee 34</v>
          </cell>
          <cell r="D139">
            <v>1</v>
          </cell>
        </row>
        <row r="140">
          <cell r="A140" t="str">
            <v>Attendee 34</v>
          </cell>
          <cell r="D140">
            <v>1</v>
          </cell>
        </row>
        <row r="141">
          <cell r="A141" t="str">
            <v>Attendee 34</v>
          </cell>
          <cell r="D141">
            <v>0</v>
          </cell>
        </row>
        <row r="142">
          <cell r="A142" t="str">
            <v>Attendee 35</v>
          </cell>
          <cell r="D142">
            <v>1</v>
          </cell>
        </row>
        <row r="143">
          <cell r="A143" t="str">
            <v>Attendee 35</v>
          </cell>
          <cell r="D143">
            <v>1</v>
          </cell>
        </row>
        <row r="144">
          <cell r="A144" t="str">
            <v>Attendee 35</v>
          </cell>
          <cell r="D144">
            <v>0</v>
          </cell>
        </row>
        <row r="145">
          <cell r="A145" t="str">
            <v>Attendee 35</v>
          </cell>
          <cell r="D145">
            <v>0</v>
          </cell>
        </row>
        <row r="146">
          <cell r="A146" t="str">
            <v>Attendee 35</v>
          </cell>
          <cell r="D146">
            <v>1</v>
          </cell>
        </row>
        <row r="147">
          <cell r="A147" t="str">
            <v>Attendee 36</v>
          </cell>
          <cell r="D147">
            <v>0</v>
          </cell>
        </row>
        <row r="148">
          <cell r="A148" t="str">
            <v>Attendee 36</v>
          </cell>
          <cell r="D148">
            <v>1</v>
          </cell>
        </row>
        <row r="149">
          <cell r="A149" t="str">
            <v>Attendee 36</v>
          </cell>
          <cell r="D149">
            <v>1</v>
          </cell>
        </row>
        <row r="150">
          <cell r="A150" t="str">
            <v>Attendee 36</v>
          </cell>
          <cell r="D150">
            <v>1</v>
          </cell>
        </row>
        <row r="151">
          <cell r="A151" t="str">
            <v>Attendee 36</v>
          </cell>
          <cell r="D151">
            <v>0</v>
          </cell>
        </row>
        <row r="152">
          <cell r="A152" t="str">
            <v>Attendee 37</v>
          </cell>
          <cell r="D152">
            <v>1</v>
          </cell>
        </row>
        <row r="153">
          <cell r="A153" t="str">
            <v>Attendee 37</v>
          </cell>
          <cell r="D153">
            <v>1</v>
          </cell>
        </row>
        <row r="154">
          <cell r="A154" t="str">
            <v>Attendee 37</v>
          </cell>
          <cell r="D154">
            <v>1</v>
          </cell>
        </row>
        <row r="155">
          <cell r="A155" t="str">
            <v>Attendee 37</v>
          </cell>
          <cell r="D155">
            <v>0</v>
          </cell>
        </row>
        <row r="156">
          <cell r="A156" t="str">
            <v>Attendee 37</v>
          </cell>
          <cell r="D156">
            <v>1</v>
          </cell>
        </row>
        <row r="157">
          <cell r="A157" t="str">
            <v>Attendee 38</v>
          </cell>
          <cell r="D157">
            <v>0</v>
          </cell>
        </row>
        <row r="158">
          <cell r="A158" t="str">
            <v>Attendee 38</v>
          </cell>
          <cell r="D158">
            <v>1</v>
          </cell>
        </row>
        <row r="159">
          <cell r="A159" t="str">
            <v>Attendee 38</v>
          </cell>
          <cell r="D159">
            <v>0</v>
          </cell>
        </row>
        <row r="160">
          <cell r="A160" t="str">
            <v>Attendee 38</v>
          </cell>
          <cell r="D160">
            <v>1</v>
          </cell>
        </row>
        <row r="161">
          <cell r="A161" t="str">
            <v>Attendee 38</v>
          </cell>
          <cell r="D161">
            <v>1</v>
          </cell>
        </row>
        <row r="162">
          <cell r="A162" t="str">
            <v>Attendee 39</v>
          </cell>
          <cell r="D162">
            <v>1</v>
          </cell>
        </row>
        <row r="163">
          <cell r="A163" t="str">
            <v>Attendee 39</v>
          </cell>
          <cell r="D163">
            <v>1</v>
          </cell>
        </row>
        <row r="164">
          <cell r="A164" t="str">
            <v>Attendee 39</v>
          </cell>
          <cell r="D164">
            <v>1</v>
          </cell>
        </row>
        <row r="165">
          <cell r="A165" t="str">
            <v>Attendee 39</v>
          </cell>
          <cell r="D165">
            <v>0</v>
          </cell>
        </row>
        <row r="166">
          <cell r="A166" t="str">
            <v>Attendee 39</v>
          </cell>
          <cell r="D166">
            <v>1</v>
          </cell>
        </row>
        <row r="167">
          <cell r="A167" t="str">
            <v>Attendee 4</v>
          </cell>
          <cell r="D167">
            <v>0</v>
          </cell>
        </row>
        <row r="168">
          <cell r="A168" t="str">
            <v>Attendee 4</v>
          </cell>
          <cell r="D168">
            <v>0</v>
          </cell>
        </row>
        <row r="169">
          <cell r="A169" t="str">
            <v>Attendee 4</v>
          </cell>
          <cell r="D169">
            <v>1</v>
          </cell>
        </row>
        <row r="170">
          <cell r="A170" t="str">
            <v>Attendee 4</v>
          </cell>
          <cell r="D170">
            <v>1</v>
          </cell>
        </row>
        <row r="171">
          <cell r="A171" t="str">
            <v>Attendee 4</v>
          </cell>
          <cell r="D171">
            <v>0</v>
          </cell>
        </row>
        <row r="172">
          <cell r="A172" t="str">
            <v>Attendee 40</v>
          </cell>
          <cell r="D172">
            <v>0</v>
          </cell>
        </row>
        <row r="173">
          <cell r="A173" t="str">
            <v>Attendee 40</v>
          </cell>
          <cell r="D173">
            <v>0</v>
          </cell>
        </row>
        <row r="174">
          <cell r="A174" t="str">
            <v>Attendee 40</v>
          </cell>
          <cell r="D174">
            <v>0</v>
          </cell>
        </row>
        <row r="175">
          <cell r="A175" t="str">
            <v>Attendee 40</v>
          </cell>
          <cell r="D175">
            <v>1</v>
          </cell>
        </row>
        <row r="176">
          <cell r="A176" t="str">
            <v>Attendee 40</v>
          </cell>
          <cell r="D176">
            <v>0</v>
          </cell>
        </row>
        <row r="177">
          <cell r="A177" t="str">
            <v>Attendee 41</v>
          </cell>
          <cell r="D177">
            <v>1</v>
          </cell>
        </row>
        <row r="178">
          <cell r="A178" t="str">
            <v>Attendee 41</v>
          </cell>
          <cell r="D178">
            <v>0</v>
          </cell>
        </row>
        <row r="179">
          <cell r="A179" t="str">
            <v>Attendee 41</v>
          </cell>
          <cell r="D179">
            <v>1</v>
          </cell>
        </row>
        <row r="180">
          <cell r="A180" t="str">
            <v>Attendee 41</v>
          </cell>
          <cell r="D180">
            <v>1</v>
          </cell>
        </row>
        <row r="181">
          <cell r="A181" t="str">
            <v>Attendee 41</v>
          </cell>
          <cell r="D181">
            <v>1</v>
          </cell>
        </row>
        <row r="182">
          <cell r="A182" t="str">
            <v>Attendee 42</v>
          </cell>
          <cell r="D182">
            <v>0</v>
          </cell>
        </row>
        <row r="183">
          <cell r="A183" t="str">
            <v>Attendee 42</v>
          </cell>
          <cell r="D183">
            <v>0</v>
          </cell>
        </row>
        <row r="184">
          <cell r="A184" t="str">
            <v>Attendee 42</v>
          </cell>
          <cell r="D184">
            <v>0</v>
          </cell>
        </row>
        <row r="185">
          <cell r="A185" t="str">
            <v>Attendee 42</v>
          </cell>
          <cell r="D185">
            <v>1</v>
          </cell>
        </row>
        <row r="186">
          <cell r="A186" t="str">
            <v>Attendee 42</v>
          </cell>
          <cell r="D186">
            <v>0</v>
          </cell>
        </row>
        <row r="187">
          <cell r="A187" t="str">
            <v>Attendee 43</v>
          </cell>
          <cell r="D187">
            <v>1</v>
          </cell>
        </row>
        <row r="188">
          <cell r="A188" t="str">
            <v>Attendee 43</v>
          </cell>
          <cell r="D188">
            <v>1</v>
          </cell>
        </row>
        <row r="189">
          <cell r="A189" t="str">
            <v>Attendee 43</v>
          </cell>
          <cell r="D189">
            <v>0</v>
          </cell>
        </row>
        <row r="190">
          <cell r="A190" t="str">
            <v>Attendee 43</v>
          </cell>
          <cell r="D190">
            <v>0</v>
          </cell>
        </row>
        <row r="191">
          <cell r="A191" t="str">
            <v>Attendee 43</v>
          </cell>
          <cell r="D191">
            <v>0</v>
          </cell>
        </row>
        <row r="192">
          <cell r="A192" t="str">
            <v>Attendee 44</v>
          </cell>
          <cell r="D192">
            <v>0</v>
          </cell>
        </row>
        <row r="193">
          <cell r="A193" t="str">
            <v>Attendee 44</v>
          </cell>
          <cell r="D193">
            <v>1</v>
          </cell>
        </row>
        <row r="194">
          <cell r="A194" t="str">
            <v>Attendee 44</v>
          </cell>
          <cell r="D194">
            <v>0</v>
          </cell>
        </row>
        <row r="195">
          <cell r="A195" t="str">
            <v>Attendee 44</v>
          </cell>
          <cell r="D195">
            <v>1</v>
          </cell>
        </row>
        <row r="196">
          <cell r="A196" t="str">
            <v>Attendee 44</v>
          </cell>
          <cell r="D196">
            <v>0</v>
          </cell>
        </row>
        <row r="197">
          <cell r="A197" t="str">
            <v>Attendee 45</v>
          </cell>
          <cell r="D197">
            <v>1</v>
          </cell>
        </row>
        <row r="198">
          <cell r="A198" t="str">
            <v>Attendee 45</v>
          </cell>
          <cell r="D198">
            <v>0</v>
          </cell>
        </row>
        <row r="199">
          <cell r="A199" t="str">
            <v>Attendee 45</v>
          </cell>
          <cell r="D199">
            <v>0</v>
          </cell>
        </row>
        <row r="200">
          <cell r="A200" t="str">
            <v>Attendee 45</v>
          </cell>
          <cell r="D200">
            <v>1</v>
          </cell>
        </row>
        <row r="201">
          <cell r="A201" t="str">
            <v>Attendee 45</v>
          </cell>
          <cell r="D201">
            <v>1</v>
          </cell>
        </row>
        <row r="202">
          <cell r="A202" t="str">
            <v>Attendee 46</v>
          </cell>
          <cell r="D202">
            <v>0</v>
          </cell>
        </row>
        <row r="203">
          <cell r="A203" t="str">
            <v>Attendee 46</v>
          </cell>
          <cell r="D203">
            <v>1</v>
          </cell>
        </row>
        <row r="204">
          <cell r="A204" t="str">
            <v>Attendee 46</v>
          </cell>
          <cell r="D204">
            <v>1</v>
          </cell>
        </row>
        <row r="205">
          <cell r="A205" t="str">
            <v>Attendee 46</v>
          </cell>
          <cell r="D205">
            <v>0</v>
          </cell>
        </row>
        <row r="206">
          <cell r="A206" t="str">
            <v>Attendee 46</v>
          </cell>
          <cell r="D206">
            <v>0</v>
          </cell>
        </row>
        <row r="207">
          <cell r="A207" t="str">
            <v>Attendee 47</v>
          </cell>
          <cell r="D207">
            <v>1</v>
          </cell>
        </row>
        <row r="208">
          <cell r="A208" t="str">
            <v>Attendee 47</v>
          </cell>
          <cell r="D208">
            <v>1</v>
          </cell>
        </row>
        <row r="209">
          <cell r="A209" t="str">
            <v>Attendee 47</v>
          </cell>
          <cell r="D209">
            <v>1</v>
          </cell>
        </row>
        <row r="210">
          <cell r="A210" t="str">
            <v>Attendee 47</v>
          </cell>
          <cell r="D210">
            <v>0</v>
          </cell>
        </row>
        <row r="211">
          <cell r="A211" t="str">
            <v>Attendee 47</v>
          </cell>
          <cell r="D211">
            <v>1</v>
          </cell>
        </row>
        <row r="212">
          <cell r="A212" t="str">
            <v>Attendee 48</v>
          </cell>
          <cell r="D212">
            <v>0</v>
          </cell>
        </row>
        <row r="213">
          <cell r="A213" t="str">
            <v>Attendee 48</v>
          </cell>
          <cell r="D213">
            <v>0</v>
          </cell>
        </row>
        <row r="214">
          <cell r="A214" t="str">
            <v>Attendee 48</v>
          </cell>
          <cell r="D214">
            <v>0</v>
          </cell>
        </row>
        <row r="215">
          <cell r="A215" t="str">
            <v>Attendee 48</v>
          </cell>
          <cell r="D215">
            <v>0</v>
          </cell>
        </row>
        <row r="216">
          <cell r="A216" t="str">
            <v>Attendee 48</v>
          </cell>
          <cell r="D216">
            <v>0</v>
          </cell>
        </row>
        <row r="217">
          <cell r="A217" t="str">
            <v>Attendee 49</v>
          </cell>
          <cell r="D217">
            <v>1</v>
          </cell>
        </row>
        <row r="218">
          <cell r="A218" t="str">
            <v>Attendee 49</v>
          </cell>
          <cell r="D218">
            <v>0</v>
          </cell>
        </row>
        <row r="219">
          <cell r="A219" t="str">
            <v>Attendee 49</v>
          </cell>
          <cell r="D219">
            <v>0</v>
          </cell>
        </row>
        <row r="220">
          <cell r="A220" t="str">
            <v>Attendee 49</v>
          </cell>
          <cell r="D220">
            <v>0</v>
          </cell>
        </row>
        <row r="221">
          <cell r="A221" t="str">
            <v>Attendee 49</v>
          </cell>
          <cell r="D221">
            <v>1</v>
          </cell>
        </row>
        <row r="222">
          <cell r="A222" t="str">
            <v>Attendee 5</v>
          </cell>
          <cell r="D222">
            <v>1</v>
          </cell>
        </row>
        <row r="223">
          <cell r="A223" t="str">
            <v>Attendee 5</v>
          </cell>
          <cell r="D223">
            <v>0</v>
          </cell>
        </row>
        <row r="224">
          <cell r="A224" t="str">
            <v>Attendee 5</v>
          </cell>
          <cell r="D224">
            <v>1</v>
          </cell>
        </row>
        <row r="225">
          <cell r="A225" t="str">
            <v>Attendee 5</v>
          </cell>
          <cell r="D225">
            <v>1</v>
          </cell>
        </row>
        <row r="226">
          <cell r="A226" t="str">
            <v>Attendee 5</v>
          </cell>
          <cell r="D226">
            <v>0</v>
          </cell>
        </row>
        <row r="227">
          <cell r="A227" t="str">
            <v>Attendee 50</v>
          </cell>
          <cell r="D227">
            <v>0</v>
          </cell>
        </row>
        <row r="228">
          <cell r="A228" t="str">
            <v>Attendee 50</v>
          </cell>
          <cell r="D228">
            <v>0</v>
          </cell>
        </row>
        <row r="229">
          <cell r="A229" t="str">
            <v>Attendee 50</v>
          </cell>
          <cell r="D229">
            <v>0</v>
          </cell>
        </row>
        <row r="230">
          <cell r="A230" t="str">
            <v>Attendee 50</v>
          </cell>
          <cell r="D230">
            <v>1</v>
          </cell>
        </row>
        <row r="231">
          <cell r="A231" t="str">
            <v>Attendee 50</v>
          </cell>
          <cell r="D231">
            <v>0</v>
          </cell>
        </row>
        <row r="232">
          <cell r="A232" t="str">
            <v>Attendee 6</v>
          </cell>
          <cell r="D232">
            <v>0</v>
          </cell>
        </row>
        <row r="233">
          <cell r="A233" t="str">
            <v>Attendee 6</v>
          </cell>
          <cell r="D233">
            <v>0</v>
          </cell>
        </row>
        <row r="234">
          <cell r="A234" t="str">
            <v>Attendee 6</v>
          </cell>
          <cell r="D234">
            <v>1</v>
          </cell>
        </row>
        <row r="235">
          <cell r="A235" t="str">
            <v>Attendee 6</v>
          </cell>
          <cell r="D235">
            <v>1</v>
          </cell>
        </row>
        <row r="236">
          <cell r="A236" t="str">
            <v>Attendee 6</v>
          </cell>
          <cell r="D236">
            <v>1</v>
          </cell>
        </row>
        <row r="237">
          <cell r="A237" t="str">
            <v>Attendee 7</v>
          </cell>
          <cell r="D237">
            <v>1</v>
          </cell>
        </row>
        <row r="238">
          <cell r="A238" t="str">
            <v>Attendee 7</v>
          </cell>
          <cell r="D238">
            <v>0</v>
          </cell>
        </row>
        <row r="239">
          <cell r="A239" t="str">
            <v>Attendee 7</v>
          </cell>
          <cell r="D239">
            <v>1</v>
          </cell>
        </row>
        <row r="240">
          <cell r="A240" t="str">
            <v>Attendee 7</v>
          </cell>
          <cell r="D240">
            <v>1</v>
          </cell>
        </row>
        <row r="241">
          <cell r="A241" t="str">
            <v>Attendee 7</v>
          </cell>
          <cell r="D241">
            <v>1</v>
          </cell>
        </row>
        <row r="242">
          <cell r="A242" t="str">
            <v>Attendee 8</v>
          </cell>
          <cell r="D242">
            <v>0</v>
          </cell>
        </row>
        <row r="243">
          <cell r="A243" t="str">
            <v>Attendee 8</v>
          </cell>
          <cell r="D243">
            <v>1</v>
          </cell>
        </row>
        <row r="244">
          <cell r="A244" t="str">
            <v>Attendee 8</v>
          </cell>
          <cell r="D244">
            <v>1</v>
          </cell>
        </row>
        <row r="245">
          <cell r="A245" t="str">
            <v>Attendee 8</v>
          </cell>
          <cell r="D245">
            <v>1</v>
          </cell>
        </row>
        <row r="246">
          <cell r="A246" t="str">
            <v>Attendee 8</v>
          </cell>
          <cell r="D246">
            <v>0</v>
          </cell>
        </row>
        <row r="247">
          <cell r="A247" t="str">
            <v>Attendee 9</v>
          </cell>
          <cell r="D247">
            <v>1</v>
          </cell>
        </row>
        <row r="248">
          <cell r="A248" t="str">
            <v>Attendee 9</v>
          </cell>
          <cell r="D248">
            <v>1</v>
          </cell>
        </row>
        <row r="249">
          <cell r="A249" t="str">
            <v>Attendee 9</v>
          </cell>
          <cell r="D249">
            <v>1</v>
          </cell>
        </row>
        <row r="250">
          <cell r="A250" t="str">
            <v>Attendee 9</v>
          </cell>
          <cell r="D250">
            <v>1</v>
          </cell>
        </row>
        <row r="251">
          <cell r="A251" t="str">
            <v>Attendee 9</v>
          </cell>
          <cell r="D251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k Majumder" refreshedDate="46009.918573726849" createdVersion="8" refreshedVersion="8" minRefreshableVersion="3" recordCount="50" xr:uid="{D6DBC1D4-80AE-4393-B8B5-C1A120A5DD94}">
  <cacheSource type="worksheet">
    <worksheetSource name="Table1"/>
  </cacheSource>
  <cacheFields count="8">
    <cacheField name="Name" numFmtId="0">
      <sharedItems/>
    </cacheField>
    <cacheField name="Month" numFmtId="165">
      <sharedItems containsSemiMixedTypes="0" containsNonDate="0" containsDate="1" containsString="0" minDate="2024-07-01T00:00:00" maxDate="2024-07-02T00:00:00"/>
    </cacheField>
    <cacheField name="Contact" numFmtId="0">
      <sharedItems/>
    </cacheField>
    <cacheField name="Group/ Department" numFmtId="0">
      <sharedItems count="5">
        <s v="Marketing"/>
        <s v="Sales"/>
        <s v="HR"/>
        <s v="IT"/>
        <s v="Finance"/>
      </sharedItems>
    </cacheField>
    <cacheField name="Total days present" numFmtId="0">
      <sharedItems containsSemiMixedTypes="0" containsString="0" containsNumber="1" containsInteger="1" minValue="5" maxValue="5"/>
    </cacheField>
    <cacheField name="Actual days present" numFmtId="0">
      <sharedItems containsSemiMixedTypes="0" containsString="0" containsNumber="1" containsInteger="1" minValue="0" maxValue="5"/>
    </cacheField>
    <cacheField name="Attendance Percentage" numFmtId="9">
      <sharedItems containsSemiMixedTypes="0" containsString="0" containsNumber="1" minValue="0" maxValue="1"/>
    </cacheField>
    <cacheField name="Attendance requirement me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Attendee 1"/>
    <d v="2024-07-01T00:00:00"/>
    <s v="attendee1@company.com"/>
    <x v="0"/>
    <n v="5"/>
    <n v="2"/>
    <n v="0.4"/>
    <s v="No"/>
  </r>
  <r>
    <s v="Attendee 2"/>
    <d v="2024-07-01T00:00:00"/>
    <s v="attendee2@company.com"/>
    <x v="1"/>
    <n v="5"/>
    <n v="3"/>
    <n v="0.6"/>
    <s v="No"/>
  </r>
  <r>
    <s v="Attendee 3"/>
    <d v="2024-07-01T00:00:00"/>
    <s v="attendee3@company.com"/>
    <x v="2"/>
    <n v="5"/>
    <n v="2"/>
    <n v="0.4"/>
    <s v="No"/>
  </r>
  <r>
    <s v="Attendee 4"/>
    <d v="2024-07-01T00:00:00"/>
    <s v="attendee4@company.com"/>
    <x v="3"/>
    <n v="5"/>
    <n v="2"/>
    <n v="0.4"/>
    <s v="Yes"/>
  </r>
  <r>
    <s v="Attendee 5"/>
    <d v="2024-07-01T00:00:00"/>
    <s v="attendee5@company.com"/>
    <x v="4"/>
    <n v="5"/>
    <n v="3"/>
    <n v="0.6"/>
    <s v="Yes"/>
  </r>
  <r>
    <s v="Attendee 6"/>
    <d v="2024-07-01T00:00:00"/>
    <s v="attendee6@company.com"/>
    <x v="0"/>
    <n v="5"/>
    <n v="3"/>
    <n v="0.6"/>
    <s v="No"/>
  </r>
  <r>
    <s v="Attendee 7"/>
    <d v="2024-07-01T00:00:00"/>
    <s v="attendee7@company.com"/>
    <x v="1"/>
    <n v="5"/>
    <n v="4"/>
    <n v="0.8"/>
    <s v="Yes"/>
  </r>
  <r>
    <s v="Attendee 8"/>
    <d v="2024-07-01T00:00:00"/>
    <s v="attendee8@company.com"/>
    <x v="2"/>
    <n v="5"/>
    <n v="3"/>
    <n v="0.6"/>
    <s v="No"/>
  </r>
  <r>
    <s v="Attendee 9"/>
    <d v="2024-07-01T00:00:00"/>
    <s v="attendee9@company.com"/>
    <x v="3"/>
    <n v="5"/>
    <n v="4"/>
    <n v="0.8"/>
    <s v="Yes"/>
  </r>
  <r>
    <s v="Attendee 10"/>
    <d v="2024-07-01T00:00:00"/>
    <s v="attendee10@company.com"/>
    <x v="4"/>
    <n v="5"/>
    <n v="2"/>
    <n v="0.4"/>
    <s v="Yes"/>
  </r>
  <r>
    <s v="Attendee 11"/>
    <d v="2024-07-01T00:00:00"/>
    <s v="attendee11@company.com"/>
    <x v="0"/>
    <n v="5"/>
    <n v="3"/>
    <n v="0.6"/>
    <s v="No"/>
  </r>
  <r>
    <s v="Attendee 12"/>
    <d v="2024-07-01T00:00:00"/>
    <s v="attendee12@company.com"/>
    <x v="1"/>
    <n v="5"/>
    <n v="0"/>
    <n v="0"/>
    <s v="No"/>
  </r>
  <r>
    <s v="Attendee 13"/>
    <d v="2024-07-01T00:00:00"/>
    <s v="attendee13@company.com"/>
    <x v="2"/>
    <n v="5"/>
    <n v="3"/>
    <n v="0.6"/>
    <s v="No"/>
  </r>
  <r>
    <s v="Attendee 14"/>
    <d v="2024-07-01T00:00:00"/>
    <s v="attendee14@company.com"/>
    <x v="3"/>
    <n v="5"/>
    <n v="3"/>
    <n v="0.6"/>
    <s v="Yes"/>
  </r>
  <r>
    <s v="Attendee 15"/>
    <d v="2024-07-01T00:00:00"/>
    <s v="attendee15@company.com"/>
    <x v="4"/>
    <n v="5"/>
    <n v="3"/>
    <n v="0.6"/>
    <s v="Yes"/>
  </r>
  <r>
    <s v="Attendee 16"/>
    <d v="2024-07-01T00:00:00"/>
    <s v="attendee16@company.com"/>
    <x v="0"/>
    <n v="5"/>
    <n v="2"/>
    <n v="0.4"/>
    <s v="No"/>
  </r>
  <r>
    <s v="Attendee 17"/>
    <d v="2024-07-01T00:00:00"/>
    <s v="attendee17@company.com"/>
    <x v="1"/>
    <n v="5"/>
    <n v="3"/>
    <n v="0.6"/>
    <s v="No"/>
  </r>
  <r>
    <s v="Attendee 18"/>
    <d v="2024-07-01T00:00:00"/>
    <s v="attendee18@company.com"/>
    <x v="2"/>
    <n v="5"/>
    <n v="3"/>
    <n v="0.6"/>
    <s v="No"/>
  </r>
  <r>
    <s v="Attendee 19"/>
    <d v="2024-07-01T00:00:00"/>
    <s v="attendee19@company.com"/>
    <x v="3"/>
    <n v="5"/>
    <n v="3"/>
    <n v="0.6"/>
    <s v="Yes"/>
  </r>
  <r>
    <s v="Attendee 20"/>
    <d v="2024-07-01T00:00:00"/>
    <s v="attendee20@company.com"/>
    <x v="4"/>
    <n v="5"/>
    <n v="2"/>
    <n v="0.4"/>
    <s v="Yes"/>
  </r>
  <r>
    <s v="Attendee 21"/>
    <d v="2024-07-01T00:00:00"/>
    <s v="attendee21@company.com"/>
    <x v="0"/>
    <n v="5"/>
    <n v="3"/>
    <n v="0.6"/>
    <s v="No"/>
  </r>
  <r>
    <s v="Attendee 22"/>
    <d v="2024-07-01T00:00:00"/>
    <s v="attendee22@company.com"/>
    <x v="1"/>
    <n v="5"/>
    <n v="1"/>
    <n v="0.2"/>
    <s v="No"/>
  </r>
  <r>
    <s v="Attendee 23"/>
    <d v="2024-07-01T00:00:00"/>
    <s v="attendee23@company.com"/>
    <x v="2"/>
    <n v="5"/>
    <n v="3"/>
    <n v="0.6"/>
    <s v="No"/>
  </r>
  <r>
    <s v="Attendee 24"/>
    <d v="2024-07-01T00:00:00"/>
    <s v="attendee24@company.com"/>
    <x v="3"/>
    <n v="5"/>
    <n v="2"/>
    <n v="0.4"/>
    <s v="Yes"/>
  </r>
  <r>
    <s v="Attendee 25"/>
    <d v="2024-07-01T00:00:00"/>
    <s v="attendee25@company.com"/>
    <x v="4"/>
    <n v="5"/>
    <n v="2"/>
    <n v="0.4"/>
    <s v="Yes"/>
  </r>
  <r>
    <s v="Attendee 26"/>
    <d v="2024-07-01T00:00:00"/>
    <s v="attendee26@company.com"/>
    <x v="0"/>
    <n v="5"/>
    <n v="2"/>
    <n v="0.4"/>
    <s v="No"/>
  </r>
  <r>
    <s v="Attendee 27"/>
    <d v="2024-07-01T00:00:00"/>
    <s v="attendee27@company.com"/>
    <x v="1"/>
    <n v="5"/>
    <n v="4"/>
    <n v="0.8"/>
    <s v="Yes"/>
  </r>
  <r>
    <s v="Attendee 28"/>
    <d v="2024-07-01T00:00:00"/>
    <s v="attendee28@company.com"/>
    <x v="2"/>
    <n v="5"/>
    <n v="0"/>
    <n v="0"/>
    <s v="No"/>
  </r>
  <r>
    <s v="Attendee 29"/>
    <d v="2024-07-01T00:00:00"/>
    <s v="attendee29@company.com"/>
    <x v="3"/>
    <n v="5"/>
    <n v="3"/>
    <n v="0.6"/>
    <s v="Yes"/>
  </r>
  <r>
    <s v="Attendee 30"/>
    <d v="2024-07-01T00:00:00"/>
    <s v="attendee30@company.com"/>
    <x v="4"/>
    <n v="5"/>
    <n v="4"/>
    <n v="0.8"/>
    <s v="Yes"/>
  </r>
  <r>
    <s v="Attendee 31"/>
    <d v="2024-07-01T00:00:00"/>
    <s v="attendee31@company.com"/>
    <x v="0"/>
    <n v="5"/>
    <n v="2"/>
    <n v="0.4"/>
    <s v="No"/>
  </r>
  <r>
    <s v="Attendee 32"/>
    <d v="2024-07-01T00:00:00"/>
    <s v="attendee32@company.com"/>
    <x v="1"/>
    <n v="5"/>
    <n v="2"/>
    <n v="0.4"/>
    <s v="No"/>
  </r>
  <r>
    <s v="Attendee 33"/>
    <d v="2024-07-01T00:00:00"/>
    <s v="attendee33@company.com"/>
    <x v="2"/>
    <n v="5"/>
    <n v="5"/>
    <n v="1"/>
    <s v="Yes"/>
  </r>
  <r>
    <s v="Attendee 34"/>
    <d v="2024-07-01T00:00:00"/>
    <s v="attendee34@company.com"/>
    <x v="3"/>
    <n v="5"/>
    <n v="2"/>
    <n v="0.4"/>
    <s v="Yes"/>
  </r>
  <r>
    <s v="Attendee 35"/>
    <d v="2024-07-01T00:00:00"/>
    <s v="attendee35@company.com"/>
    <x v="4"/>
    <n v="5"/>
    <n v="3"/>
    <n v="0.6"/>
    <s v="Yes"/>
  </r>
  <r>
    <s v="Attendee 36"/>
    <d v="2024-07-01T00:00:00"/>
    <s v="attendee36@company.com"/>
    <x v="0"/>
    <n v="5"/>
    <n v="3"/>
    <n v="0.6"/>
    <s v="No"/>
  </r>
  <r>
    <s v="Attendee 37"/>
    <d v="2024-07-01T00:00:00"/>
    <s v="attendee37@company.com"/>
    <x v="1"/>
    <n v="5"/>
    <n v="4"/>
    <n v="0.8"/>
    <s v="Yes"/>
  </r>
  <r>
    <s v="Attendee 38"/>
    <d v="2024-07-01T00:00:00"/>
    <s v="attendee38@company.com"/>
    <x v="2"/>
    <n v="5"/>
    <n v="3"/>
    <n v="0.6"/>
    <s v="No"/>
  </r>
  <r>
    <s v="Attendee 39"/>
    <d v="2024-07-01T00:00:00"/>
    <s v="attendee39@company.com"/>
    <x v="3"/>
    <n v="5"/>
    <n v="4"/>
    <n v="0.8"/>
    <s v="Yes"/>
  </r>
  <r>
    <s v="Attendee 40"/>
    <d v="2024-07-01T00:00:00"/>
    <s v="attendee40@company.com"/>
    <x v="4"/>
    <n v="5"/>
    <n v="1"/>
    <n v="0.2"/>
    <s v="No"/>
  </r>
  <r>
    <s v="Attendee 41"/>
    <d v="2024-07-01T00:00:00"/>
    <s v="attendee41@company.com"/>
    <x v="0"/>
    <n v="5"/>
    <n v="4"/>
    <n v="0.8"/>
    <s v="Yes"/>
  </r>
  <r>
    <s v="Attendee 42"/>
    <d v="2024-07-01T00:00:00"/>
    <s v="attendee42@company.com"/>
    <x v="1"/>
    <n v="5"/>
    <n v="1"/>
    <n v="0.2"/>
    <s v="No"/>
  </r>
  <r>
    <s v="Attendee 43"/>
    <d v="2024-07-01T00:00:00"/>
    <s v="attendee43@company.com"/>
    <x v="2"/>
    <n v="5"/>
    <n v="2"/>
    <n v="0.4"/>
    <s v="No"/>
  </r>
  <r>
    <s v="Attendee 44"/>
    <d v="2024-07-01T00:00:00"/>
    <s v="attendee44@company.com"/>
    <x v="3"/>
    <n v="5"/>
    <n v="2"/>
    <n v="0.4"/>
    <s v="Yes"/>
  </r>
  <r>
    <s v="Attendee 45"/>
    <d v="2024-07-01T00:00:00"/>
    <s v="attendee45@company.com"/>
    <x v="4"/>
    <n v="5"/>
    <n v="3"/>
    <n v="0.6"/>
    <s v="Yes"/>
  </r>
  <r>
    <s v="Attendee 46"/>
    <d v="2024-07-01T00:00:00"/>
    <s v="attendee46@company.com"/>
    <x v="0"/>
    <n v="5"/>
    <n v="2"/>
    <n v="0.4"/>
    <s v="No"/>
  </r>
  <r>
    <s v="Attendee 47"/>
    <d v="2024-07-01T00:00:00"/>
    <s v="attendee47@company.com"/>
    <x v="1"/>
    <n v="5"/>
    <n v="4"/>
    <n v="0.8"/>
    <s v="Yes"/>
  </r>
  <r>
    <s v="Attendee 48"/>
    <d v="2024-07-01T00:00:00"/>
    <s v="attendee48@company.com"/>
    <x v="2"/>
    <n v="5"/>
    <n v="0"/>
    <n v="0"/>
    <s v="No"/>
  </r>
  <r>
    <s v="Attendee 49"/>
    <d v="2024-07-01T00:00:00"/>
    <s v="attendee49@company.com"/>
    <x v="3"/>
    <n v="5"/>
    <n v="2"/>
    <n v="0.4"/>
    <s v="Yes"/>
  </r>
  <r>
    <s v="Attendee 50"/>
    <d v="2024-07-01T00:00:00"/>
    <s v="attendee50@company.com"/>
    <x v="4"/>
    <n v="5"/>
    <n v="1"/>
    <n v="0.2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20CD5A-D02D-44A5-9A8F-3FA91FE3C9C4}" name="PivotTable5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1:K7" firstHeaderRow="1" firstDataRow="1" firstDataCol="1"/>
  <pivotFields count="8">
    <pivotField showAll="0"/>
    <pivotField numFmtId="165" showAll="0"/>
    <pivotField showAll="0"/>
    <pivotField axis="axisRow" showAll="0">
      <items count="6">
        <item x="4"/>
        <item x="2"/>
        <item x="3"/>
        <item x="0"/>
        <item x="1"/>
        <item t="default"/>
      </items>
    </pivotField>
    <pivotField showAll="0"/>
    <pivotField showAll="0"/>
    <pivotField dataField="1" numFmtId="9"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Attendance Percentage" fld="6" subtotal="average" baseField="3" baseItem="0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5C159A-445A-4EB1-8505-A02941EBFC02}" name="Table1" displayName="Table1" ref="A1:H52" totalsRowCount="1" headerRowDxfId="10" headerRowBorderDxfId="8" tableBorderDxfId="9">
  <autoFilter ref="A1:H51" xr:uid="{335C159A-445A-4EB1-8505-A02941EBFC02}"/>
  <sortState xmlns:xlrd2="http://schemas.microsoft.com/office/spreadsheetml/2017/richdata2" ref="A2:H51">
    <sortCondition ref="F1:F51"/>
  </sortState>
  <tableColumns count="8">
    <tableColumn id="1" xr3:uid="{55C77EFB-1304-4FF7-BE5D-573A3F801CEC}" name="Name" dataDxfId="7" totalsRowDxfId="2"/>
    <tableColumn id="2" xr3:uid="{DABEC824-7D0C-4D2C-A520-C61D4BF150EC}" name="Month" dataDxfId="6" totalsRowDxfId="1"/>
    <tableColumn id="3" xr3:uid="{7306EA3F-155C-486E-B796-8D0FE9DB45F3}" name="Contact">
      <calculatedColumnFormula>VLOOKUP($A2,[1]List1_ContactInfo!$A$2:$B$58,2,FALSE)</calculatedColumnFormula>
    </tableColumn>
    <tableColumn id="4" xr3:uid="{C66591B2-1161-409D-B697-370F1A10BDAA}" name="Group/ Department">
      <calculatedColumnFormula>VLOOKUP($A2,[1]List2_Department!$A$1:$B$51,2,FALSE)</calculatedColumnFormula>
    </tableColumn>
    <tableColumn id="5" xr3:uid="{864502A7-34F4-4E93-BD5A-222821037B33}" name="Total days present">
      <calculatedColumnFormula>DATE(2024,7,5)-DATE(2024,7,1)+1</calculatedColumnFormula>
    </tableColumn>
    <tableColumn id="6" xr3:uid="{F6E14599-4FF0-4652-944C-FEC0558548C7}" name="Actual days present" totalsRowFunction="custom">
      <calculatedColumnFormula>SUMIF([1]List3_Details!$A$2:$A$251,$A2,[1]List3_Details!$D$2:$D$251)</calculatedColumnFormula>
      <totalsRowFormula>COUNTIF($F$2:$F$51,1)</totalsRowFormula>
    </tableColumn>
    <tableColumn id="7" xr3:uid="{3AF357F8-A05B-42A4-8FE3-F6B79D90C2E8}" name="Attendance Percentage" dataDxfId="3" totalsRowDxfId="0" dataCellStyle="Percent">
      <calculatedColumnFormula>$F2/$E2</calculatedColumnFormula>
    </tableColumn>
    <tableColumn id="8" xr3:uid="{02059A37-904B-490A-B0CD-DE22E859AE72}" name="Attendance requirement met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816F-433A-423B-9E79-1987E92C732F}">
  <dimension ref="A1:K52"/>
  <sheetViews>
    <sheetView tabSelected="1" topLeftCell="C1" workbookViewId="0">
      <selection activeCell="F3" sqref="F3"/>
    </sheetView>
  </sheetViews>
  <sheetFormatPr defaultRowHeight="14.4" x14ac:dyDescent="0.3"/>
  <cols>
    <col min="1" max="8" width="25.77734375" customWidth="1"/>
    <col min="10" max="10" width="12.5546875" bestFit="1" customWidth="1"/>
    <col min="11" max="11" width="30.77734375" bestFit="1" customWidth="1"/>
  </cols>
  <sheetData>
    <row r="1" spans="1:11" ht="34.950000000000003" customHeight="1" x14ac:dyDescent="0.3">
      <c r="A1" s="3" t="s">
        <v>0</v>
      </c>
      <c r="B1" s="3" t="s">
        <v>1</v>
      </c>
      <c r="C1" s="3" t="s">
        <v>2</v>
      </c>
      <c r="D1" s="3" t="s">
        <v>4</v>
      </c>
      <c r="E1" s="3" t="s">
        <v>3</v>
      </c>
      <c r="F1" s="3" t="s">
        <v>55</v>
      </c>
      <c r="G1" s="3" t="s">
        <v>56</v>
      </c>
      <c r="H1" s="3" t="s">
        <v>57</v>
      </c>
      <c r="J1" s="5" t="s">
        <v>58</v>
      </c>
      <c r="K1" t="s">
        <v>65</v>
      </c>
    </row>
    <row r="2" spans="1:11" x14ac:dyDescent="0.3">
      <c r="A2" s="1" t="s">
        <v>16</v>
      </c>
      <c r="B2" s="2">
        <v>45474</v>
      </c>
      <c r="C2" t="str">
        <f>VLOOKUP($A2,[1]List1_ContactInfo!$A$2:$B$58,2,FALSE)</f>
        <v>attendee12@company.com</v>
      </c>
      <c r="D2" t="str">
        <f>VLOOKUP($A2,[1]List2_Department!$A$1:$B$51,2,FALSE)</f>
        <v>Sales</v>
      </c>
      <c r="E2">
        <f>DATE(2024,7,5)-DATE(2024,7,1)+1</f>
        <v>5</v>
      </c>
      <c r="F2">
        <f>SUMIF([1]List3_Details!$A$2:$A$251,$A2,[1]List3_Details!$D$2:$D$251)</f>
        <v>0</v>
      </c>
      <c r="G2" s="4">
        <f>$F2/$E2</f>
        <v>0</v>
      </c>
      <c r="H2" t="str">
        <f>IF($G2&gt;=80%,"Yes","No")</f>
        <v>No</v>
      </c>
      <c r="J2" s="6" t="s">
        <v>59</v>
      </c>
      <c r="K2" s="7">
        <v>0.48</v>
      </c>
    </row>
    <row r="3" spans="1:11" x14ac:dyDescent="0.3">
      <c r="A3" s="1" t="s">
        <v>32</v>
      </c>
      <c r="B3" s="2">
        <v>45474</v>
      </c>
      <c r="C3" t="str">
        <f>VLOOKUP($A3,[1]List1_ContactInfo!$A$2:$B$58,2,FALSE)</f>
        <v>attendee28@company.com</v>
      </c>
      <c r="D3" t="str">
        <f>VLOOKUP($A3,[1]List2_Department!$A$1:$B$51,2,FALSE)</f>
        <v>HR</v>
      </c>
      <c r="E3">
        <f>DATE(2024,7,5)-DATE(2024,7,1)+1</f>
        <v>5</v>
      </c>
      <c r="F3">
        <f>SUMIF([1]List3_Details!$A$2:$A$251,$A3,[1]List3_Details!$D$2:$D$251)</f>
        <v>0</v>
      </c>
      <c r="G3" s="4">
        <f>$F3/$E3</f>
        <v>0</v>
      </c>
      <c r="H3" t="str">
        <f>IF($G3&gt;=80%,"Yes","No")</f>
        <v>No</v>
      </c>
      <c r="J3" s="6" t="s">
        <v>60</v>
      </c>
      <c r="K3" s="7">
        <v>0.48000000000000009</v>
      </c>
    </row>
    <row r="4" spans="1:11" x14ac:dyDescent="0.3">
      <c r="A4" s="1" t="s">
        <v>52</v>
      </c>
      <c r="B4" s="2">
        <v>45474</v>
      </c>
      <c r="C4" t="str">
        <f>VLOOKUP($A4,[1]List1_ContactInfo!$A$2:$B$58,2,FALSE)</f>
        <v>attendee48@company.com</v>
      </c>
      <c r="D4" t="str">
        <f>VLOOKUP($A4,[1]List2_Department!$A$1:$B$51,2,FALSE)</f>
        <v>HR</v>
      </c>
      <c r="E4">
        <f>DATE(2024,7,5)-DATE(2024,7,1)+1</f>
        <v>5</v>
      </c>
      <c r="F4">
        <f>SUMIF([1]List3_Details!$A$2:$A$251,$A4,[1]List3_Details!$D$2:$D$251)</f>
        <v>0</v>
      </c>
      <c r="G4" s="4">
        <f>$F4/$E4</f>
        <v>0</v>
      </c>
      <c r="H4" t="str">
        <f>IF($G4&gt;=80%,"Yes","No")</f>
        <v>No</v>
      </c>
      <c r="J4" s="6" t="s">
        <v>61</v>
      </c>
      <c r="K4" s="7">
        <v>0.54000000000000015</v>
      </c>
    </row>
    <row r="5" spans="1:11" x14ac:dyDescent="0.3">
      <c r="A5" s="1" t="s">
        <v>44</v>
      </c>
      <c r="B5" s="2">
        <v>45474</v>
      </c>
      <c r="C5" t="str">
        <f>VLOOKUP($A5,[1]List1_ContactInfo!$A$2:$B$58,2,FALSE)</f>
        <v>attendee40@company.com</v>
      </c>
      <c r="D5" t="str">
        <f>VLOOKUP($A5,[1]List2_Department!$A$1:$B$51,2,FALSE)</f>
        <v>Finance</v>
      </c>
      <c r="E5">
        <f>DATE(2024,7,5)-DATE(2024,7,1)+1</f>
        <v>5</v>
      </c>
      <c r="F5">
        <f>SUMIF([1]List3_Details!$A$2:$A$251,$A5,[1]List3_Details!$D$2:$D$251)</f>
        <v>1</v>
      </c>
      <c r="G5" s="4">
        <f>$F5/$E5</f>
        <v>0.2</v>
      </c>
      <c r="H5" t="str">
        <f>IF($G5&gt;=40%,"Yes","No")</f>
        <v>No</v>
      </c>
      <c r="J5" s="6" t="s">
        <v>62</v>
      </c>
      <c r="K5" s="7">
        <v>0.52</v>
      </c>
    </row>
    <row r="6" spans="1:11" x14ac:dyDescent="0.3">
      <c r="A6" s="1" t="s">
        <v>54</v>
      </c>
      <c r="B6" s="2">
        <v>45474</v>
      </c>
      <c r="C6" t="str">
        <f>VLOOKUP($A6,[1]List1_ContactInfo!$A$2:$B$58,2,FALSE)</f>
        <v>attendee50@company.com</v>
      </c>
      <c r="D6" t="str">
        <f>VLOOKUP($A6,[1]List2_Department!$A$1:$B$51,2,FALSE)</f>
        <v>Finance</v>
      </c>
      <c r="E6">
        <f>DATE(2024,7,5)-DATE(2024,7,1)+1</f>
        <v>5</v>
      </c>
      <c r="F6">
        <f>SUMIF([1]List3_Details!$A$2:$A$251,$A6,[1]List3_Details!$D$2:$D$251)</f>
        <v>1</v>
      </c>
      <c r="G6" s="4">
        <f>$F6/$E6</f>
        <v>0.2</v>
      </c>
      <c r="H6" t="str">
        <f>IF($G6&gt;=40%,"Yes","No")</f>
        <v>No</v>
      </c>
      <c r="J6" s="6" t="s">
        <v>63</v>
      </c>
      <c r="K6" s="7">
        <v>0.52</v>
      </c>
    </row>
    <row r="7" spans="1:11" x14ac:dyDescent="0.3">
      <c r="A7" s="1" t="s">
        <v>26</v>
      </c>
      <c r="B7" s="2">
        <v>45474</v>
      </c>
      <c r="C7" t="str">
        <f>VLOOKUP($A7,[1]List1_ContactInfo!$A$2:$B$58,2,FALSE)</f>
        <v>attendee22@company.com</v>
      </c>
      <c r="D7" t="str">
        <f>VLOOKUP($A7,[1]List2_Department!$A$1:$B$51,2,FALSE)</f>
        <v>Sales</v>
      </c>
      <c r="E7">
        <f>DATE(2024,7,5)-DATE(2024,7,1)+1</f>
        <v>5</v>
      </c>
      <c r="F7">
        <f>SUMIF([1]List3_Details!$A$2:$A$251,$A7,[1]List3_Details!$D$2:$D$251)</f>
        <v>1</v>
      </c>
      <c r="G7" s="4">
        <f>$F7/$E7</f>
        <v>0.2</v>
      </c>
      <c r="H7" t="str">
        <f>IF($G7&gt;=80%,"Yes","No")</f>
        <v>No</v>
      </c>
      <c r="J7" s="6" t="s">
        <v>64</v>
      </c>
      <c r="K7" s="7">
        <v>0.50800000000000001</v>
      </c>
    </row>
    <row r="8" spans="1:11" x14ac:dyDescent="0.3">
      <c r="A8" s="1" t="s">
        <v>46</v>
      </c>
      <c r="B8" s="2">
        <v>45474</v>
      </c>
      <c r="C8" t="str">
        <f>VLOOKUP($A8,[1]List1_ContactInfo!$A$2:$B$58,2,FALSE)</f>
        <v>attendee42@company.com</v>
      </c>
      <c r="D8" t="str">
        <f>VLOOKUP($A8,[1]List2_Department!$A$1:$B$51,2,FALSE)</f>
        <v>Sales</v>
      </c>
      <c r="E8">
        <f>DATE(2024,7,5)-DATE(2024,7,1)+1</f>
        <v>5</v>
      </c>
      <c r="F8">
        <f>SUMIF([1]List3_Details!$A$2:$A$251,$A8,[1]List3_Details!$D$2:$D$251)</f>
        <v>1</v>
      </c>
      <c r="G8" s="4">
        <f>$F8/$E8</f>
        <v>0.2</v>
      </c>
      <c r="H8" t="str">
        <f>IF($G8&gt;=80%,"Yes","No")</f>
        <v>No</v>
      </c>
    </row>
    <row r="9" spans="1:11" x14ac:dyDescent="0.3">
      <c r="A9" s="1" t="s">
        <v>5</v>
      </c>
      <c r="B9" s="2">
        <v>45474</v>
      </c>
      <c r="C9" t="str">
        <f>VLOOKUP($A9,[1]List1_ContactInfo!$A$2:$B$58,2,FALSE)</f>
        <v>attendee1@company.com</v>
      </c>
      <c r="D9" t="str">
        <f>VLOOKUP($A9,[1]List2_Department!$A$1:$B$51,2,FALSE)</f>
        <v>Marketing</v>
      </c>
      <c r="E9">
        <f>DATE(2024,7,5)-DATE(2024,7,1)+1</f>
        <v>5</v>
      </c>
      <c r="F9">
        <f>SUMIF([1]List3_Details!$A$2:$A$251,$A9,[1]List3_Details!$D$2:$D$251)</f>
        <v>2</v>
      </c>
      <c r="G9" s="4">
        <f>$F9/$E9</f>
        <v>0.4</v>
      </c>
      <c r="H9" t="str">
        <f>IF($G9&gt;=80%,"Yes","No")</f>
        <v>No</v>
      </c>
    </row>
    <row r="10" spans="1:11" x14ac:dyDescent="0.3">
      <c r="A10" s="1" t="s">
        <v>20</v>
      </c>
      <c r="B10" s="2">
        <v>45474</v>
      </c>
      <c r="C10" t="str">
        <f>VLOOKUP($A10,[1]List1_ContactInfo!$A$2:$B$58,2,FALSE)</f>
        <v>attendee16@company.com</v>
      </c>
      <c r="D10" t="str">
        <f>VLOOKUP($A10,[1]List2_Department!$A$1:$B$51,2,FALSE)</f>
        <v>Marketing</v>
      </c>
      <c r="E10">
        <f>DATE(2024,7,5)-DATE(2024,7,1)+1</f>
        <v>5</v>
      </c>
      <c r="F10">
        <f>SUMIF([1]List3_Details!$A$2:$A$251,$A10,[1]List3_Details!$D$2:$D$251)</f>
        <v>2</v>
      </c>
      <c r="G10" s="4">
        <f>$F10/$E10</f>
        <v>0.4</v>
      </c>
      <c r="H10" t="str">
        <f>IF($G10&gt;=80%,"Yes","No")</f>
        <v>No</v>
      </c>
    </row>
    <row r="11" spans="1:11" x14ac:dyDescent="0.3">
      <c r="A11" s="1" t="s">
        <v>8</v>
      </c>
      <c r="B11" s="2">
        <v>45474</v>
      </c>
      <c r="C11" t="str">
        <f>VLOOKUP($A11,[1]List1_ContactInfo!$A$2:$B$58,2,FALSE)</f>
        <v>attendee4@company.com</v>
      </c>
      <c r="D11" t="str">
        <f>VLOOKUP($A11,[1]List2_Department!$A$1:$B$51,2,FALSE)</f>
        <v>IT</v>
      </c>
      <c r="E11">
        <f>DATE(2024,7,5)-DATE(2024,7,1)+1</f>
        <v>5</v>
      </c>
      <c r="F11">
        <f>SUMIF([1]List3_Details!$A$2:$A$251,$A11,[1]List3_Details!$D$2:$D$251)</f>
        <v>2</v>
      </c>
      <c r="G11" s="4">
        <f>$F11/$E11</f>
        <v>0.4</v>
      </c>
      <c r="H11" t="str">
        <f>IF($G11&gt;=40%,"Yes","No")</f>
        <v>Yes</v>
      </c>
    </row>
    <row r="12" spans="1:11" x14ac:dyDescent="0.3">
      <c r="A12" s="1" t="s">
        <v>14</v>
      </c>
      <c r="B12" s="2">
        <v>45474</v>
      </c>
      <c r="C12" t="str">
        <f>VLOOKUP($A12,[1]List1_ContactInfo!$A$2:$B$58,2,FALSE)</f>
        <v>attendee10@company.com</v>
      </c>
      <c r="D12" t="str">
        <f>VLOOKUP($A12,[1]List2_Department!$A$1:$B$51,2,FALSE)</f>
        <v>Finance</v>
      </c>
      <c r="E12">
        <f>DATE(2024,7,5)-DATE(2024,7,1)+1</f>
        <v>5</v>
      </c>
      <c r="F12">
        <f>SUMIF([1]List3_Details!$A$2:$A$251,$A12,[1]List3_Details!$D$2:$D$251)</f>
        <v>2</v>
      </c>
      <c r="G12" s="4">
        <f>$F12/$E12</f>
        <v>0.4</v>
      </c>
      <c r="H12" t="str">
        <f>IF($G12&gt;=40%,"Yes","No")</f>
        <v>Yes</v>
      </c>
    </row>
    <row r="13" spans="1:11" x14ac:dyDescent="0.3">
      <c r="A13" s="1" t="s">
        <v>24</v>
      </c>
      <c r="B13" s="2">
        <v>45474</v>
      </c>
      <c r="C13" t="str">
        <f>VLOOKUP($A13,[1]List1_ContactInfo!$A$2:$B$58,2,FALSE)</f>
        <v>attendee20@company.com</v>
      </c>
      <c r="D13" t="str">
        <f>VLOOKUP($A13,[1]List2_Department!$A$1:$B$51,2,FALSE)</f>
        <v>Finance</v>
      </c>
      <c r="E13">
        <f>DATE(2024,7,5)-DATE(2024,7,1)+1</f>
        <v>5</v>
      </c>
      <c r="F13">
        <f>SUMIF([1]List3_Details!$A$2:$A$251,$A13,[1]List3_Details!$D$2:$D$251)</f>
        <v>2</v>
      </c>
      <c r="G13" s="4">
        <f>$F13/$E13</f>
        <v>0.4</v>
      </c>
      <c r="H13" t="str">
        <f>IF($G13&gt;=40%,"Yes","No")</f>
        <v>Yes</v>
      </c>
    </row>
    <row r="14" spans="1:11" x14ac:dyDescent="0.3">
      <c r="A14" s="1" t="s">
        <v>28</v>
      </c>
      <c r="B14" s="2">
        <v>45474</v>
      </c>
      <c r="C14" t="str">
        <f>VLOOKUP($A14,[1]List1_ContactInfo!$A$2:$B$58,2,FALSE)</f>
        <v>attendee24@company.com</v>
      </c>
      <c r="D14" t="str">
        <f>VLOOKUP($A14,[1]List2_Department!$A$1:$B$51,2,FALSE)</f>
        <v>IT</v>
      </c>
      <c r="E14">
        <f>DATE(2024,7,5)-DATE(2024,7,1)+1</f>
        <v>5</v>
      </c>
      <c r="F14">
        <f>SUMIF([1]List3_Details!$A$2:$A$251,$A14,[1]List3_Details!$D$2:$D$251)</f>
        <v>2</v>
      </c>
      <c r="G14" s="4">
        <f>$F14/$E14</f>
        <v>0.4</v>
      </c>
      <c r="H14" t="str">
        <f>IF($G14&gt;=40%,"Yes","No")</f>
        <v>Yes</v>
      </c>
    </row>
    <row r="15" spans="1:11" x14ac:dyDescent="0.3">
      <c r="A15" s="1" t="s">
        <v>29</v>
      </c>
      <c r="B15" s="2">
        <v>45474</v>
      </c>
      <c r="C15" t="str">
        <f>VLOOKUP($A15,[1]List1_ContactInfo!$A$2:$B$58,2,FALSE)</f>
        <v>attendee25@company.com</v>
      </c>
      <c r="D15" t="str">
        <f>VLOOKUP($A15,[1]List2_Department!$A$1:$B$51,2,FALSE)</f>
        <v>Finance</v>
      </c>
      <c r="E15">
        <f>DATE(2024,7,5)-DATE(2024,7,1)+1</f>
        <v>5</v>
      </c>
      <c r="F15">
        <f>SUMIF([1]List3_Details!$A$2:$A$251,$A15,[1]List3_Details!$D$2:$D$251)</f>
        <v>2</v>
      </c>
      <c r="G15" s="4">
        <f>$F15/$E15</f>
        <v>0.4</v>
      </c>
      <c r="H15" t="str">
        <f>IF($G15&gt;=40%,"Yes","No")</f>
        <v>Yes</v>
      </c>
    </row>
    <row r="16" spans="1:11" x14ac:dyDescent="0.3">
      <c r="A16" s="1" t="s">
        <v>38</v>
      </c>
      <c r="B16" s="2">
        <v>45474</v>
      </c>
      <c r="C16" t="str">
        <f>VLOOKUP($A16,[1]List1_ContactInfo!$A$2:$B$58,2,FALSE)</f>
        <v>attendee34@company.com</v>
      </c>
      <c r="D16" t="str">
        <f>VLOOKUP($A16,[1]List2_Department!$A$1:$B$51,2,FALSE)</f>
        <v>IT</v>
      </c>
      <c r="E16">
        <f>DATE(2024,7,5)-DATE(2024,7,1)+1</f>
        <v>5</v>
      </c>
      <c r="F16">
        <f>SUMIF([1]List3_Details!$A$2:$A$251,$A16,[1]List3_Details!$D$2:$D$251)</f>
        <v>2</v>
      </c>
      <c r="G16" s="4">
        <f>$F16/$E16</f>
        <v>0.4</v>
      </c>
      <c r="H16" t="str">
        <f>IF($G16&gt;=40%,"Yes","No")</f>
        <v>Yes</v>
      </c>
    </row>
    <row r="17" spans="1:8" x14ac:dyDescent="0.3">
      <c r="A17" s="1" t="s">
        <v>30</v>
      </c>
      <c r="B17" s="2">
        <v>45474</v>
      </c>
      <c r="C17" t="str">
        <f>VLOOKUP($A17,[1]List1_ContactInfo!$A$2:$B$58,2,FALSE)</f>
        <v>attendee26@company.com</v>
      </c>
      <c r="D17" t="str">
        <f>VLOOKUP($A17,[1]List2_Department!$A$1:$B$51,2,FALSE)</f>
        <v>Marketing</v>
      </c>
      <c r="E17">
        <f>DATE(2024,7,5)-DATE(2024,7,1)+1</f>
        <v>5</v>
      </c>
      <c r="F17">
        <f>SUMIF([1]List3_Details!$A$2:$A$251,$A17,[1]List3_Details!$D$2:$D$251)</f>
        <v>2</v>
      </c>
      <c r="G17" s="4">
        <f>$F17/$E17</f>
        <v>0.4</v>
      </c>
      <c r="H17" t="str">
        <f>IF($G17&gt;=80%,"Yes","No")</f>
        <v>No</v>
      </c>
    </row>
    <row r="18" spans="1:8" x14ac:dyDescent="0.3">
      <c r="A18" s="1" t="s">
        <v>48</v>
      </c>
      <c r="B18" s="2">
        <v>45474</v>
      </c>
      <c r="C18" t="str">
        <f>VLOOKUP($A18,[1]List1_ContactInfo!$A$2:$B$58,2,FALSE)</f>
        <v>attendee44@company.com</v>
      </c>
      <c r="D18" t="str">
        <f>VLOOKUP($A18,[1]List2_Department!$A$1:$B$51,2,FALSE)</f>
        <v>IT</v>
      </c>
      <c r="E18">
        <f>DATE(2024,7,5)-DATE(2024,7,1)+1</f>
        <v>5</v>
      </c>
      <c r="F18">
        <f>SUMIF([1]List3_Details!$A$2:$A$251,$A18,[1]List3_Details!$D$2:$D$251)</f>
        <v>2</v>
      </c>
      <c r="G18" s="4">
        <f>$F18/$E18</f>
        <v>0.4</v>
      </c>
      <c r="H18" t="str">
        <f>IF($G18&gt;=40%,"Yes","No")</f>
        <v>Yes</v>
      </c>
    </row>
    <row r="19" spans="1:8" x14ac:dyDescent="0.3">
      <c r="A19" s="1" t="s">
        <v>53</v>
      </c>
      <c r="B19" s="2">
        <v>45474</v>
      </c>
      <c r="C19" t="str">
        <f>VLOOKUP($A19,[1]List1_ContactInfo!$A$2:$B$58,2,FALSE)</f>
        <v>attendee49@company.com</v>
      </c>
      <c r="D19" t="str">
        <f>VLOOKUP($A19,[1]List2_Department!$A$1:$B$51,2,FALSE)</f>
        <v>IT</v>
      </c>
      <c r="E19">
        <f>DATE(2024,7,5)-DATE(2024,7,1)+1</f>
        <v>5</v>
      </c>
      <c r="F19">
        <f>SUMIF([1]List3_Details!$A$2:$A$251,$A19,[1]List3_Details!$D$2:$D$251)</f>
        <v>2</v>
      </c>
      <c r="G19" s="4">
        <f>$F19/$E19</f>
        <v>0.4</v>
      </c>
      <c r="H19" t="str">
        <f>IF($G19&gt;=40%,"Yes","No")</f>
        <v>Yes</v>
      </c>
    </row>
    <row r="20" spans="1:8" x14ac:dyDescent="0.3">
      <c r="A20" s="1" t="s">
        <v>7</v>
      </c>
      <c r="B20" s="2">
        <v>45474</v>
      </c>
      <c r="C20" t="str">
        <f>VLOOKUP($A20,[1]List1_ContactInfo!$A$2:$B$58,2,FALSE)</f>
        <v>attendee3@company.com</v>
      </c>
      <c r="D20" t="str">
        <f>VLOOKUP($A20,[1]List2_Department!$A$1:$B$51,2,FALSE)</f>
        <v>HR</v>
      </c>
      <c r="E20">
        <f>DATE(2024,7,5)-DATE(2024,7,1)+1</f>
        <v>5</v>
      </c>
      <c r="F20">
        <f>SUMIF([1]List3_Details!$A$2:$A$251,$A20,[1]List3_Details!$D$2:$D$251)</f>
        <v>2</v>
      </c>
      <c r="G20" s="4">
        <f>$F20/$E20</f>
        <v>0.4</v>
      </c>
      <c r="H20" t="str">
        <f>IF($G20&gt;=80%,"Yes","No")</f>
        <v>No</v>
      </c>
    </row>
    <row r="21" spans="1:8" x14ac:dyDescent="0.3">
      <c r="A21" s="1" t="s">
        <v>35</v>
      </c>
      <c r="B21" s="2">
        <v>45474</v>
      </c>
      <c r="C21" t="str">
        <f>VLOOKUP($A21,[1]List1_ContactInfo!$A$2:$B$58,2,FALSE)</f>
        <v>attendee31@company.com</v>
      </c>
      <c r="D21" t="str">
        <f>VLOOKUP($A21,[1]List2_Department!$A$1:$B$51,2,FALSE)</f>
        <v>Marketing</v>
      </c>
      <c r="E21">
        <f>DATE(2024,7,5)-DATE(2024,7,1)+1</f>
        <v>5</v>
      </c>
      <c r="F21">
        <f>SUMIF([1]List3_Details!$A$2:$A$251,$A21,[1]List3_Details!$D$2:$D$251)</f>
        <v>2</v>
      </c>
      <c r="G21" s="4">
        <f>$F21/$E21</f>
        <v>0.4</v>
      </c>
      <c r="H21" t="str">
        <f>IF($G21&gt;=80%,"Yes","No")</f>
        <v>No</v>
      </c>
    </row>
    <row r="22" spans="1:8" x14ac:dyDescent="0.3">
      <c r="A22" s="1" t="s">
        <v>36</v>
      </c>
      <c r="B22" s="2">
        <v>45474</v>
      </c>
      <c r="C22" t="str">
        <f>VLOOKUP($A22,[1]List1_ContactInfo!$A$2:$B$58,2,FALSE)</f>
        <v>attendee32@company.com</v>
      </c>
      <c r="D22" t="str">
        <f>VLOOKUP($A22,[1]List2_Department!$A$1:$B$51,2,FALSE)</f>
        <v>Sales</v>
      </c>
      <c r="E22">
        <f>DATE(2024,7,5)-DATE(2024,7,1)+1</f>
        <v>5</v>
      </c>
      <c r="F22">
        <f>SUMIF([1]List3_Details!$A$2:$A$251,$A22,[1]List3_Details!$D$2:$D$251)</f>
        <v>2</v>
      </c>
      <c r="G22" s="4">
        <f>$F22/$E22</f>
        <v>0.4</v>
      </c>
      <c r="H22" t="str">
        <f>IF($G22&gt;=80%,"Yes","No")</f>
        <v>No</v>
      </c>
    </row>
    <row r="23" spans="1:8" x14ac:dyDescent="0.3">
      <c r="A23" s="1" t="s">
        <v>47</v>
      </c>
      <c r="B23" s="2">
        <v>45474</v>
      </c>
      <c r="C23" t="str">
        <f>VLOOKUP($A23,[1]List1_ContactInfo!$A$2:$B$58,2,FALSE)</f>
        <v>attendee43@company.com</v>
      </c>
      <c r="D23" t="str">
        <f>VLOOKUP($A23,[1]List2_Department!$A$1:$B$51,2,FALSE)</f>
        <v>HR</v>
      </c>
      <c r="E23">
        <f>DATE(2024,7,5)-DATE(2024,7,1)+1</f>
        <v>5</v>
      </c>
      <c r="F23">
        <f>SUMIF([1]List3_Details!$A$2:$A$251,$A23,[1]List3_Details!$D$2:$D$251)</f>
        <v>2</v>
      </c>
      <c r="G23" s="4">
        <f>$F23/$E23</f>
        <v>0.4</v>
      </c>
      <c r="H23" t="str">
        <f>IF($G23&gt;=80%,"Yes","No")</f>
        <v>No</v>
      </c>
    </row>
    <row r="24" spans="1:8" x14ac:dyDescent="0.3">
      <c r="A24" s="1" t="s">
        <v>50</v>
      </c>
      <c r="B24" s="2">
        <v>45474</v>
      </c>
      <c r="C24" t="str">
        <f>VLOOKUP($A24,[1]List1_ContactInfo!$A$2:$B$58,2,FALSE)</f>
        <v>attendee46@company.com</v>
      </c>
      <c r="D24" t="str">
        <f>VLOOKUP($A24,[1]List2_Department!$A$1:$B$51,2,FALSE)</f>
        <v>Marketing</v>
      </c>
      <c r="E24">
        <f>DATE(2024,7,5)-DATE(2024,7,1)+1</f>
        <v>5</v>
      </c>
      <c r="F24">
        <f>SUMIF([1]List3_Details!$A$2:$A$251,$A24,[1]List3_Details!$D$2:$D$251)</f>
        <v>2</v>
      </c>
      <c r="G24" s="4">
        <f>$F24/$E24</f>
        <v>0.4</v>
      </c>
      <c r="H24" t="str">
        <f>IF($G24&gt;=80%,"Yes","No")</f>
        <v>No</v>
      </c>
    </row>
    <row r="25" spans="1:8" x14ac:dyDescent="0.3">
      <c r="A25" s="1" t="s">
        <v>15</v>
      </c>
      <c r="B25" s="2">
        <v>45474</v>
      </c>
      <c r="C25" t="str">
        <f>VLOOKUP($A25,[1]List1_ContactInfo!$A$2:$B$58,2,FALSE)</f>
        <v>attendee11@company.com</v>
      </c>
      <c r="D25" t="str">
        <f>VLOOKUP($A25,[1]List2_Department!$A$1:$B$51,2,FALSE)</f>
        <v>Marketing</v>
      </c>
      <c r="E25">
        <f>DATE(2024,7,5)-DATE(2024,7,1)+1</f>
        <v>5</v>
      </c>
      <c r="F25">
        <f>SUMIF([1]List3_Details!$A$2:$A$251,$A25,[1]List3_Details!$D$2:$D$251)</f>
        <v>3</v>
      </c>
      <c r="G25" s="4">
        <f>$F25/$E25</f>
        <v>0.6</v>
      </c>
      <c r="H25" t="str">
        <f>IF($G25&gt;=80%,"Yes","No")</f>
        <v>No</v>
      </c>
    </row>
    <row r="26" spans="1:8" x14ac:dyDescent="0.3">
      <c r="A26" s="1" t="s">
        <v>17</v>
      </c>
      <c r="B26" s="2">
        <v>45474</v>
      </c>
      <c r="C26" t="str">
        <f>VLOOKUP($A26,[1]List1_ContactInfo!$A$2:$B$58,2,FALSE)</f>
        <v>attendee13@company.com</v>
      </c>
      <c r="D26" t="str">
        <f>VLOOKUP($A26,[1]List2_Department!$A$1:$B$51,2,FALSE)</f>
        <v>HR</v>
      </c>
      <c r="E26">
        <f>DATE(2024,7,5)-DATE(2024,7,1)+1</f>
        <v>5</v>
      </c>
      <c r="F26">
        <f>SUMIF([1]List3_Details!$A$2:$A$251,$A26,[1]List3_Details!$D$2:$D$251)</f>
        <v>3</v>
      </c>
      <c r="G26" s="4">
        <f>$F26/$E26</f>
        <v>0.6</v>
      </c>
      <c r="H26" t="str">
        <f>IF($G26&gt;=80%,"Yes","No")</f>
        <v>No</v>
      </c>
    </row>
    <row r="27" spans="1:8" x14ac:dyDescent="0.3">
      <c r="A27" s="1" t="s">
        <v>21</v>
      </c>
      <c r="B27" s="2">
        <v>45474</v>
      </c>
      <c r="C27" t="str">
        <f>VLOOKUP($A27,[1]List1_ContactInfo!$A$2:$B$58,2,FALSE)</f>
        <v>attendee17@company.com</v>
      </c>
      <c r="D27" t="str">
        <f>VLOOKUP($A27,[1]List2_Department!$A$1:$B$51,2,FALSE)</f>
        <v>Sales</v>
      </c>
      <c r="E27">
        <f>DATE(2024,7,5)-DATE(2024,7,1)+1</f>
        <v>5</v>
      </c>
      <c r="F27">
        <f>SUMIF([1]List3_Details!$A$2:$A$251,$A27,[1]List3_Details!$D$2:$D$251)</f>
        <v>3</v>
      </c>
      <c r="G27" s="4">
        <f>$F27/$E27</f>
        <v>0.6</v>
      </c>
      <c r="H27" t="str">
        <f>IF($G27&gt;=80%,"Yes","No")</f>
        <v>No</v>
      </c>
    </row>
    <row r="28" spans="1:8" x14ac:dyDescent="0.3">
      <c r="A28" s="1" t="s">
        <v>22</v>
      </c>
      <c r="B28" s="2">
        <v>45474</v>
      </c>
      <c r="C28" t="str">
        <f>VLOOKUP($A28,[1]List1_ContactInfo!$A$2:$B$58,2,FALSE)</f>
        <v>attendee18@company.com</v>
      </c>
      <c r="D28" t="str">
        <f>VLOOKUP($A28,[1]List2_Department!$A$1:$B$51,2,FALSE)</f>
        <v>HR</v>
      </c>
      <c r="E28">
        <f>DATE(2024,7,5)-DATE(2024,7,1)+1</f>
        <v>5</v>
      </c>
      <c r="F28">
        <f>SUMIF([1]List3_Details!$A$2:$A$251,$A28,[1]List3_Details!$D$2:$D$251)</f>
        <v>3</v>
      </c>
      <c r="G28" s="4">
        <f>$F28/$E28</f>
        <v>0.6</v>
      </c>
      <c r="H28" t="str">
        <f>IF($G28&gt;=80%,"Yes","No")</f>
        <v>No</v>
      </c>
    </row>
    <row r="29" spans="1:8" x14ac:dyDescent="0.3">
      <c r="A29" s="1" t="s">
        <v>6</v>
      </c>
      <c r="B29" s="2">
        <v>45474</v>
      </c>
      <c r="C29" t="str">
        <f>VLOOKUP($A29,[1]List1_ContactInfo!$A$2:$B$58,2,FALSE)</f>
        <v>attendee2@company.com</v>
      </c>
      <c r="D29" t="str">
        <f>VLOOKUP($A29,[1]List2_Department!$A$1:$B$51,2,FALSE)</f>
        <v>Sales</v>
      </c>
      <c r="E29">
        <f>DATE(2024,7,5)-DATE(2024,7,1)+1</f>
        <v>5</v>
      </c>
      <c r="F29">
        <f>SUMIF([1]List3_Details!$A$2:$A$251,$A29,[1]List3_Details!$D$2:$D$251)</f>
        <v>3</v>
      </c>
      <c r="G29" s="4">
        <f>$F29/$E29</f>
        <v>0.6</v>
      </c>
      <c r="H29" t="str">
        <f>IF($G29&gt;=80%,"Yes","No")</f>
        <v>No</v>
      </c>
    </row>
    <row r="30" spans="1:8" x14ac:dyDescent="0.3">
      <c r="A30" s="1" t="s">
        <v>25</v>
      </c>
      <c r="B30" s="2">
        <v>45474</v>
      </c>
      <c r="C30" t="str">
        <f>VLOOKUP($A30,[1]List1_ContactInfo!$A$2:$B$58,2,FALSE)</f>
        <v>attendee21@company.com</v>
      </c>
      <c r="D30" t="str">
        <f>VLOOKUP($A30,[1]List2_Department!$A$1:$B$51,2,FALSE)</f>
        <v>Marketing</v>
      </c>
      <c r="E30">
        <f>DATE(2024,7,5)-DATE(2024,7,1)+1</f>
        <v>5</v>
      </c>
      <c r="F30">
        <f>SUMIF([1]List3_Details!$A$2:$A$251,$A30,[1]List3_Details!$D$2:$D$251)</f>
        <v>3</v>
      </c>
      <c r="G30" s="4">
        <f>$F30/$E30</f>
        <v>0.6</v>
      </c>
      <c r="H30" t="str">
        <f>IF($G30&gt;=80%,"Yes","No")</f>
        <v>No</v>
      </c>
    </row>
    <row r="31" spans="1:8" x14ac:dyDescent="0.3">
      <c r="A31" s="1" t="s">
        <v>27</v>
      </c>
      <c r="B31" s="2">
        <v>45474</v>
      </c>
      <c r="C31" t="str">
        <f>VLOOKUP($A31,[1]List1_ContactInfo!$A$2:$B$58,2,FALSE)</f>
        <v>attendee23@company.com</v>
      </c>
      <c r="D31" t="str">
        <f>VLOOKUP($A31,[1]List2_Department!$A$1:$B$51,2,FALSE)</f>
        <v>HR</v>
      </c>
      <c r="E31">
        <f>DATE(2024,7,5)-DATE(2024,7,1)+1</f>
        <v>5</v>
      </c>
      <c r="F31">
        <f>SUMIF([1]List3_Details!$A$2:$A$251,$A31,[1]List3_Details!$D$2:$D$251)</f>
        <v>3</v>
      </c>
      <c r="G31" s="4">
        <f>$F31/$E31</f>
        <v>0.6</v>
      </c>
      <c r="H31" t="str">
        <f>IF($G31&gt;=80%,"Yes","No")</f>
        <v>No</v>
      </c>
    </row>
    <row r="32" spans="1:8" x14ac:dyDescent="0.3">
      <c r="A32" s="1" t="s">
        <v>9</v>
      </c>
      <c r="B32" s="2">
        <v>45474</v>
      </c>
      <c r="C32" t="str">
        <f>VLOOKUP($A32,[1]List1_ContactInfo!$A$2:$B$58,2,FALSE)</f>
        <v>attendee5@company.com</v>
      </c>
      <c r="D32" t="str">
        <f>VLOOKUP($A32,[1]List2_Department!$A$1:$B$51,2,FALSE)</f>
        <v>Finance</v>
      </c>
      <c r="E32">
        <f>DATE(2024,7,5)-DATE(2024,7,1)+1</f>
        <v>5</v>
      </c>
      <c r="F32">
        <f>SUMIF([1]List3_Details!$A$2:$A$251,$A32,[1]List3_Details!$D$2:$D$251)</f>
        <v>3</v>
      </c>
      <c r="G32" s="4">
        <f>$F32/$E32</f>
        <v>0.6</v>
      </c>
      <c r="H32" t="str">
        <f>IF($G32&gt;=40%,"Yes","No")</f>
        <v>Yes</v>
      </c>
    </row>
    <row r="33" spans="1:8" x14ac:dyDescent="0.3">
      <c r="A33" s="1" t="s">
        <v>18</v>
      </c>
      <c r="B33" s="2">
        <v>45474</v>
      </c>
      <c r="C33" t="str">
        <f>VLOOKUP($A33,[1]List1_ContactInfo!$A$2:$B$58,2,FALSE)</f>
        <v>attendee14@company.com</v>
      </c>
      <c r="D33" t="str">
        <f>VLOOKUP($A33,[1]List2_Department!$A$1:$B$51,2,FALSE)</f>
        <v>IT</v>
      </c>
      <c r="E33">
        <f>DATE(2024,7,5)-DATE(2024,7,1)+1</f>
        <v>5</v>
      </c>
      <c r="F33">
        <f>SUMIF([1]List3_Details!$A$2:$A$251,$A33,[1]List3_Details!$D$2:$D$251)</f>
        <v>3</v>
      </c>
      <c r="G33" s="4">
        <f>$F33/$E33</f>
        <v>0.6</v>
      </c>
      <c r="H33" t="str">
        <f>IF($G33&gt;=40%,"Yes","No")</f>
        <v>Yes</v>
      </c>
    </row>
    <row r="34" spans="1:8" x14ac:dyDescent="0.3">
      <c r="A34" s="1" t="s">
        <v>19</v>
      </c>
      <c r="B34" s="2">
        <v>45474</v>
      </c>
      <c r="C34" t="str">
        <f>VLOOKUP($A34,[1]List1_ContactInfo!$A$2:$B$58,2,FALSE)</f>
        <v>attendee15@company.com</v>
      </c>
      <c r="D34" t="str">
        <f>VLOOKUP($A34,[1]List2_Department!$A$1:$B$51,2,FALSE)</f>
        <v>Finance</v>
      </c>
      <c r="E34">
        <f>DATE(2024,7,5)-DATE(2024,7,1)+1</f>
        <v>5</v>
      </c>
      <c r="F34">
        <f>SUMIF([1]List3_Details!$A$2:$A$251,$A34,[1]List3_Details!$D$2:$D$251)</f>
        <v>3</v>
      </c>
      <c r="G34" s="4">
        <f>$F34/$E34</f>
        <v>0.6</v>
      </c>
      <c r="H34" t="str">
        <f>IF($G34&gt;=40%,"Yes","No")</f>
        <v>Yes</v>
      </c>
    </row>
    <row r="35" spans="1:8" x14ac:dyDescent="0.3">
      <c r="A35" s="1" t="s">
        <v>40</v>
      </c>
      <c r="B35" s="2">
        <v>45474</v>
      </c>
      <c r="C35" t="str">
        <f>VLOOKUP($A35,[1]List1_ContactInfo!$A$2:$B$58,2,FALSE)</f>
        <v>attendee36@company.com</v>
      </c>
      <c r="D35" t="str">
        <f>VLOOKUP($A35,[1]List2_Department!$A$1:$B$51,2,FALSE)</f>
        <v>Marketing</v>
      </c>
      <c r="E35">
        <f>DATE(2024,7,5)-DATE(2024,7,1)+1</f>
        <v>5</v>
      </c>
      <c r="F35">
        <f>SUMIF([1]List3_Details!$A$2:$A$251,$A35,[1]List3_Details!$D$2:$D$251)</f>
        <v>3</v>
      </c>
      <c r="G35" s="4">
        <f>$F35/$E35</f>
        <v>0.6</v>
      </c>
      <c r="H35" t="str">
        <f>IF($G35&gt;=80%,"Yes","No")</f>
        <v>No</v>
      </c>
    </row>
    <row r="36" spans="1:8" x14ac:dyDescent="0.3">
      <c r="A36" s="1" t="s">
        <v>23</v>
      </c>
      <c r="B36" s="2">
        <v>45474</v>
      </c>
      <c r="C36" t="str">
        <f>VLOOKUP($A36,[1]List1_ContactInfo!$A$2:$B$58,2,FALSE)</f>
        <v>attendee19@company.com</v>
      </c>
      <c r="D36" t="str">
        <f>VLOOKUP($A36,[1]List2_Department!$A$1:$B$51,2,FALSE)</f>
        <v>IT</v>
      </c>
      <c r="E36">
        <f>DATE(2024,7,5)-DATE(2024,7,1)+1</f>
        <v>5</v>
      </c>
      <c r="F36">
        <f>SUMIF([1]List3_Details!$A$2:$A$251,$A36,[1]List3_Details!$D$2:$D$251)</f>
        <v>3</v>
      </c>
      <c r="G36" s="4">
        <f>$F36/$E36</f>
        <v>0.6</v>
      </c>
      <c r="H36" t="str">
        <f>IF($G36&gt;=40%,"Yes","No")</f>
        <v>Yes</v>
      </c>
    </row>
    <row r="37" spans="1:8" x14ac:dyDescent="0.3">
      <c r="A37" s="1" t="s">
        <v>42</v>
      </c>
      <c r="B37" s="2">
        <v>45474</v>
      </c>
      <c r="C37" t="str">
        <f>VLOOKUP($A37,[1]List1_ContactInfo!$A$2:$B$58,2,FALSE)</f>
        <v>attendee38@company.com</v>
      </c>
      <c r="D37" t="str">
        <f>VLOOKUP($A37,[1]List2_Department!$A$1:$B$51,2,FALSE)</f>
        <v>HR</v>
      </c>
      <c r="E37">
        <f>DATE(2024,7,5)-DATE(2024,7,1)+1</f>
        <v>5</v>
      </c>
      <c r="F37">
        <f>SUMIF([1]List3_Details!$A$2:$A$251,$A37,[1]List3_Details!$D$2:$D$251)</f>
        <v>3</v>
      </c>
      <c r="G37" s="4">
        <f>$F37/$E37</f>
        <v>0.6</v>
      </c>
      <c r="H37" t="str">
        <f>IF($G37&gt;=80%,"Yes","No")</f>
        <v>No</v>
      </c>
    </row>
    <row r="38" spans="1:8" x14ac:dyDescent="0.3">
      <c r="A38" s="1" t="s">
        <v>33</v>
      </c>
      <c r="B38" s="2">
        <v>45474</v>
      </c>
      <c r="C38" t="str">
        <f>VLOOKUP($A38,[1]List1_ContactInfo!$A$2:$B$58,2,FALSE)</f>
        <v>attendee29@company.com</v>
      </c>
      <c r="D38" t="str">
        <f>VLOOKUP($A38,[1]List2_Department!$A$1:$B$51,2,FALSE)</f>
        <v>IT</v>
      </c>
      <c r="E38">
        <f>DATE(2024,7,5)-DATE(2024,7,1)+1</f>
        <v>5</v>
      </c>
      <c r="F38">
        <f>SUMIF([1]List3_Details!$A$2:$A$251,$A38,[1]List3_Details!$D$2:$D$251)</f>
        <v>3</v>
      </c>
      <c r="G38" s="4">
        <f>$F38/$E38</f>
        <v>0.6</v>
      </c>
      <c r="H38" t="str">
        <f>IF($G38&gt;=40%,"Yes","No")</f>
        <v>Yes</v>
      </c>
    </row>
    <row r="39" spans="1:8" x14ac:dyDescent="0.3">
      <c r="A39" s="1" t="s">
        <v>39</v>
      </c>
      <c r="B39" s="2">
        <v>45474</v>
      </c>
      <c r="C39" t="str">
        <f>VLOOKUP($A39,[1]List1_ContactInfo!$A$2:$B$58,2,FALSE)</f>
        <v>attendee35@company.com</v>
      </c>
      <c r="D39" t="str">
        <f>VLOOKUP($A39,[1]List2_Department!$A$1:$B$51,2,FALSE)</f>
        <v>Finance</v>
      </c>
      <c r="E39">
        <f>DATE(2024,7,5)-DATE(2024,7,1)+1</f>
        <v>5</v>
      </c>
      <c r="F39">
        <f>SUMIF([1]List3_Details!$A$2:$A$251,$A39,[1]List3_Details!$D$2:$D$251)</f>
        <v>3</v>
      </c>
      <c r="G39" s="4">
        <f>$F39/$E39</f>
        <v>0.6</v>
      </c>
      <c r="H39" t="str">
        <f>IF($G39&gt;=40%,"Yes","No")</f>
        <v>Yes</v>
      </c>
    </row>
    <row r="40" spans="1:8" x14ac:dyDescent="0.3">
      <c r="A40" s="1" t="s">
        <v>49</v>
      </c>
      <c r="B40" s="2">
        <v>45474</v>
      </c>
      <c r="C40" t="str">
        <f>VLOOKUP($A40,[1]List1_ContactInfo!$A$2:$B$58,2,FALSE)</f>
        <v>attendee45@company.com</v>
      </c>
      <c r="D40" t="str">
        <f>VLOOKUP($A40,[1]List2_Department!$A$1:$B$51,2,FALSE)</f>
        <v>Finance</v>
      </c>
      <c r="E40">
        <f>DATE(2024,7,5)-DATE(2024,7,1)+1</f>
        <v>5</v>
      </c>
      <c r="F40">
        <f>SUMIF([1]List3_Details!$A$2:$A$251,$A40,[1]List3_Details!$D$2:$D$251)</f>
        <v>3</v>
      </c>
      <c r="G40" s="4">
        <f>$F40/$E40</f>
        <v>0.6</v>
      </c>
      <c r="H40" t="str">
        <f>IF($G40&gt;=40%,"Yes","No")</f>
        <v>Yes</v>
      </c>
    </row>
    <row r="41" spans="1:8" x14ac:dyDescent="0.3">
      <c r="A41" s="1" t="s">
        <v>10</v>
      </c>
      <c r="B41" s="2">
        <v>45474</v>
      </c>
      <c r="C41" t="str">
        <f>VLOOKUP($A41,[1]List1_ContactInfo!$A$2:$B$58,2,FALSE)</f>
        <v>attendee6@company.com</v>
      </c>
      <c r="D41" t="str">
        <f>VLOOKUP($A41,[1]List2_Department!$A$1:$B$51,2,FALSE)</f>
        <v>Marketing</v>
      </c>
      <c r="E41">
        <f>DATE(2024,7,5)-DATE(2024,7,1)+1</f>
        <v>5</v>
      </c>
      <c r="F41">
        <f>SUMIF([1]List3_Details!$A$2:$A$251,$A41,[1]List3_Details!$D$2:$D$251)</f>
        <v>3</v>
      </c>
      <c r="G41" s="4">
        <f>$F41/$E41</f>
        <v>0.6</v>
      </c>
      <c r="H41" t="str">
        <f>IF($G41&gt;=80%,"Yes","No")</f>
        <v>No</v>
      </c>
    </row>
    <row r="42" spans="1:8" x14ac:dyDescent="0.3">
      <c r="A42" s="1" t="s">
        <v>12</v>
      </c>
      <c r="B42" s="2">
        <v>45474</v>
      </c>
      <c r="C42" t="str">
        <f>VLOOKUP($A42,[1]List1_ContactInfo!$A$2:$B$58,2,FALSE)</f>
        <v>attendee8@company.com</v>
      </c>
      <c r="D42" t="str">
        <f>VLOOKUP($A42,[1]List2_Department!$A$1:$B$51,2,FALSE)</f>
        <v>HR</v>
      </c>
      <c r="E42">
        <f>DATE(2024,7,5)-DATE(2024,7,1)+1</f>
        <v>5</v>
      </c>
      <c r="F42">
        <f>SUMIF([1]List3_Details!$A$2:$A$251,$A42,[1]List3_Details!$D$2:$D$251)</f>
        <v>3</v>
      </c>
      <c r="G42" s="4">
        <f>$F42/$E42</f>
        <v>0.6</v>
      </c>
      <c r="H42" t="str">
        <f>IF($G42&gt;=80%,"Yes","No")</f>
        <v>No</v>
      </c>
    </row>
    <row r="43" spans="1:8" x14ac:dyDescent="0.3">
      <c r="A43" s="1" t="s">
        <v>31</v>
      </c>
      <c r="B43" s="2">
        <v>45474</v>
      </c>
      <c r="C43" t="str">
        <f>VLOOKUP($A43,[1]List1_ContactInfo!$A$2:$B$58,2,FALSE)</f>
        <v>attendee27@company.com</v>
      </c>
      <c r="D43" t="str">
        <f>VLOOKUP($A43,[1]List2_Department!$A$1:$B$51,2,FALSE)</f>
        <v>Sales</v>
      </c>
      <c r="E43">
        <f>DATE(2024,7,5)-DATE(2024,7,1)+1</f>
        <v>5</v>
      </c>
      <c r="F43">
        <f>SUMIF([1]List3_Details!$A$2:$A$251,$A43,[1]List3_Details!$D$2:$D$251)</f>
        <v>4</v>
      </c>
      <c r="G43" s="4">
        <f>$F43/$E43</f>
        <v>0.8</v>
      </c>
      <c r="H43" t="str">
        <f>IF($G43&gt;=80%,"Yes","No")</f>
        <v>Yes</v>
      </c>
    </row>
    <row r="44" spans="1:8" x14ac:dyDescent="0.3">
      <c r="A44" s="1" t="s">
        <v>41</v>
      </c>
      <c r="B44" s="2">
        <v>45474</v>
      </c>
      <c r="C44" t="str">
        <f>VLOOKUP($A44,[1]List1_ContactInfo!$A$2:$B$58,2,FALSE)</f>
        <v>attendee37@company.com</v>
      </c>
      <c r="D44" t="str">
        <f>VLOOKUP($A44,[1]List2_Department!$A$1:$B$51,2,FALSE)</f>
        <v>Sales</v>
      </c>
      <c r="E44">
        <f>DATE(2024,7,5)-DATE(2024,7,1)+1</f>
        <v>5</v>
      </c>
      <c r="F44">
        <f>SUMIF([1]List3_Details!$A$2:$A$251,$A44,[1]List3_Details!$D$2:$D$251)</f>
        <v>4</v>
      </c>
      <c r="G44" s="4">
        <f>$F44/$E44</f>
        <v>0.8</v>
      </c>
      <c r="H44" t="str">
        <f>IF($G44&gt;=80%,"Yes","No")</f>
        <v>Yes</v>
      </c>
    </row>
    <row r="45" spans="1:8" x14ac:dyDescent="0.3">
      <c r="A45" s="1" t="s">
        <v>45</v>
      </c>
      <c r="B45" s="2">
        <v>45474</v>
      </c>
      <c r="C45" t="str">
        <f>VLOOKUP($A45,[1]List1_ContactInfo!$A$2:$B$58,2,FALSE)</f>
        <v>attendee41@company.com</v>
      </c>
      <c r="D45" t="str">
        <f>VLOOKUP($A45,[1]List2_Department!$A$1:$B$51,2,FALSE)</f>
        <v>Marketing</v>
      </c>
      <c r="E45">
        <f>DATE(2024,7,5)-DATE(2024,7,1)+1</f>
        <v>5</v>
      </c>
      <c r="F45">
        <f>SUMIF([1]List3_Details!$A$2:$A$251,$A45,[1]List3_Details!$D$2:$D$251)</f>
        <v>4</v>
      </c>
      <c r="G45" s="4">
        <f>$F45/$E45</f>
        <v>0.8</v>
      </c>
      <c r="H45" t="str">
        <f>IF($G45&gt;=80%,"Yes","No")</f>
        <v>Yes</v>
      </c>
    </row>
    <row r="46" spans="1:8" x14ac:dyDescent="0.3">
      <c r="A46" s="1" t="s">
        <v>13</v>
      </c>
      <c r="B46" s="2">
        <v>45474</v>
      </c>
      <c r="C46" t="str">
        <f>VLOOKUP($A46,[1]List1_ContactInfo!$A$2:$B$58,2,FALSE)</f>
        <v>attendee9@company.com</v>
      </c>
      <c r="D46" t="str">
        <f>VLOOKUP($A46,[1]List2_Department!$A$1:$B$51,2,FALSE)</f>
        <v>IT</v>
      </c>
      <c r="E46">
        <f>DATE(2024,7,5)-DATE(2024,7,1)+1</f>
        <v>5</v>
      </c>
      <c r="F46">
        <f>SUMIF([1]List3_Details!$A$2:$A$251,$A46,[1]List3_Details!$D$2:$D$251)</f>
        <v>4</v>
      </c>
      <c r="G46" s="4">
        <f>$F46/$E46</f>
        <v>0.8</v>
      </c>
      <c r="H46" t="str">
        <f>IF($G46&gt;=40%,"Yes","No")</f>
        <v>Yes</v>
      </c>
    </row>
    <row r="47" spans="1:8" x14ac:dyDescent="0.3">
      <c r="A47" s="1" t="s">
        <v>51</v>
      </c>
      <c r="B47" s="2">
        <v>45474</v>
      </c>
      <c r="C47" t="str">
        <f>VLOOKUP($A47,[1]List1_ContactInfo!$A$2:$B$58,2,FALSE)</f>
        <v>attendee47@company.com</v>
      </c>
      <c r="D47" t="str">
        <f>VLOOKUP($A47,[1]List2_Department!$A$1:$B$51,2,FALSE)</f>
        <v>Sales</v>
      </c>
      <c r="E47">
        <f>DATE(2024,7,5)-DATE(2024,7,1)+1</f>
        <v>5</v>
      </c>
      <c r="F47">
        <f>SUMIF([1]List3_Details!$A$2:$A$251,$A47,[1]List3_Details!$D$2:$D$251)</f>
        <v>4</v>
      </c>
      <c r="G47" s="4">
        <f>$F47/$E47</f>
        <v>0.8</v>
      </c>
      <c r="H47" t="str">
        <f>IF($G47&gt;=80%,"Yes","No")</f>
        <v>Yes</v>
      </c>
    </row>
    <row r="48" spans="1:8" x14ac:dyDescent="0.3">
      <c r="A48" s="1" t="s">
        <v>34</v>
      </c>
      <c r="B48" s="2">
        <v>45474</v>
      </c>
      <c r="C48" t="str">
        <f>VLOOKUP($A48,[1]List1_ContactInfo!$A$2:$B$58,2,FALSE)</f>
        <v>attendee30@company.com</v>
      </c>
      <c r="D48" t="str">
        <f>VLOOKUP($A48,[1]List2_Department!$A$1:$B$51,2,FALSE)</f>
        <v>Finance</v>
      </c>
      <c r="E48">
        <f>DATE(2024,7,5)-DATE(2024,7,1)+1</f>
        <v>5</v>
      </c>
      <c r="F48">
        <f>SUMIF([1]List3_Details!$A$2:$A$251,$A48,[1]List3_Details!$D$2:$D$251)</f>
        <v>4</v>
      </c>
      <c r="G48" s="4">
        <f>$F48/$E48</f>
        <v>0.8</v>
      </c>
      <c r="H48" t="str">
        <f>IF($G48&gt;=40%,"Yes","No")</f>
        <v>Yes</v>
      </c>
    </row>
    <row r="49" spans="1:8" x14ac:dyDescent="0.3">
      <c r="A49" s="1" t="s">
        <v>43</v>
      </c>
      <c r="B49" s="2">
        <v>45474</v>
      </c>
      <c r="C49" t="str">
        <f>VLOOKUP($A49,[1]List1_ContactInfo!$A$2:$B$58,2,FALSE)</f>
        <v>attendee39@company.com</v>
      </c>
      <c r="D49" t="str">
        <f>VLOOKUP($A49,[1]List2_Department!$A$1:$B$51,2,FALSE)</f>
        <v>IT</v>
      </c>
      <c r="E49">
        <f>DATE(2024,7,5)-DATE(2024,7,1)+1</f>
        <v>5</v>
      </c>
      <c r="F49">
        <f>SUMIF([1]List3_Details!$A$2:$A$251,$A49,[1]List3_Details!$D$2:$D$251)</f>
        <v>4</v>
      </c>
      <c r="G49" s="4">
        <f>$F49/$E49</f>
        <v>0.8</v>
      </c>
      <c r="H49" t="str">
        <f>IF($G49&gt;=40%,"Yes","No")</f>
        <v>Yes</v>
      </c>
    </row>
    <row r="50" spans="1:8" x14ac:dyDescent="0.3">
      <c r="A50" s="1" t="s">
        <v>11</v>
      </c>
      <c r="B50" s="2">
        <v>45474</v>
      </c>
      <c r="C50" t="str">
        <f>VLOOKUP($A50,[1]List1_ContactInfo!$A$2:$B$58,2,FALSE)</f>
        <v>attendee7@company.com</v>
      </c>
      <c r="D50" t="str">
        <f>VLOOKUP($A50,[1]List2_Department!$A$1:$B$51,2,FALSE)</f>
        <v>Sales</v>
      </c>
      <c r="E50">
        <f>DATE(2024,7,5)-DATE(2024,7,1)+1</f>
        <v>5</v>
      </c>
      <c r="F50">
        <f>SUMIF([1]List3_Details!$A$2:$A$251,$A50,[1]List3_Details!$D$2:$D$251)</f>
        <v>4</v>
      </c>
      <c r="G50" s="4">
        <f>$F50/$E50</f>
        <v>0.8</v>
      </c>
      <c r="H50" t="str">
        <f>IF($G50&gt;=80%,"Yes","No")</f>
        <v>Yes</v>
      </c>
    </row>
    <row r="51" spans="1:8" x14ac:dyDescent="0.3">
      <c r="A51" s="1" t="s">
        <v>37</v>
      </c>
      <c r="B51" s="2">
        <v>45474</v>
      </c>
      <c r="C51" t="str">
        <f>VLOOKUP($A51,[1]List1_ContactInfo!$A$2:$B$58,2,FALSE)</f>
        <v>attendee33@company.com</v>
      </c>
      <c r="D51" t="str">
        <f>VLOOKUP($A51,[1]List2_Department!$A$1:$B$51,2,FALSE)</f>
        <v>HR</v>
      </c>
      <c r="E51">
        <f>DATE(2024,7,5)-DATE(2024,7,1)+1</f>
        <v>5</v>
      </c>
      <c r="F51">
        <f>SUMIF([1]List3_Details!$A$2:$A$251,$A51,[1]List3_Details!$D$2:$D$251)</f>
        <v>5</v>
      </c>
      <c r="G51" s="8">
        <f>$F51/$E51</f>
        <v>1</v>
      </c>
      <c r="H51" t="str">
        <f>IF($G51&gt;=80%,"Yes","No")</f>
        <v>Yes</v>
      </c>
    </row>
    <row r="52" spans="1:8" x14ac:dyDescent="0.3">
      <c r="A52" s="1"/>
      <c r="B52" s="2"/>
      <c r="F52">
        <f>COUNTIF($F$2:$F$51,1)</f>
        <v>4</v>
      </c>
      <c r="G52" s="9"/>
    </row>
  </sheetData>
  <phoneticPr fontId="4" type="noConversion"/>
  <conditionalFormatting sqref="A2:A51">
    <cfRule type="duplicateValues" dxfId="4" priority="9"/>
  </conditionalFormatting>
  <conditionalFormatting sqref="F2:F5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{516BB52D-83E4-4B6F-A9FD-37D2D97E6364}</x14:id>
        </ext>
      </extLst>
    </cfRule>
  </conditionalFormatting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6BB52D-83E4-4B6F-A9FD-37D2D97E6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Attendance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 Majumder</dc:creator>
  <cp:lastModifiedBy>Anik Majumder</cp:lastModifiedBy>
  <dcterms:created xsi:type="dcterms:W3CDTF">2025-12-18T11:19:38Z</dcterms:created>
  <dcterms:modified xsi:type="dcterms:W3CDTF">2025-12-18T16:57:43Z</dcterms:modified>
</cp:coreProperties>
</file>